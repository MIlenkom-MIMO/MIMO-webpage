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imometeringservices-my.sharepoint.com/personal/m_manojlovic_mimo-ms_com/Documents/MIMO/PDO OMan - Speed of Sound/Final/"/>
    </mc:Choice>
  </mc:AlternateContent>
  <xr:revisionPtr revIDLastSave="0" documentId="8_{91F5A263-4B31-4239-8B09-39FC14B363A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Gas Properties" sheetId="1" r:id="rId1"/>
    <sheet name="Output Values" sheetId="5" state="veryHidden" r:id="rId2"/>
    <sheet name="Compounds" sheetId="6" state="hidden" r:id="rId3"/>
  </sheets>
  <functionGroups builtInGroupCount="19"/>
  <definedNames>
    <definedName name="Composition">'Gas Properties'!$C$16:$C$39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" l="1"/>
  <c r="C40" i="1"/>
  <c r="G19" i="1"/>
  <c r="G17" i="1"/>
  <c r="G16" i="1"/>
  <c r="G18" i="1"/>
  <c r="H6" i="1" l="1"/>
  <c r="B8" i="5"/>
  <c r="B7" i="5"/>
  <c r="AR61" i="6" a="1"/>
  <c r="AR63" i="6" a="1"/>
  <c r="AQ60" i="6" a="1"/>
  <c r="AR30" i="6" a="1"/>
  <c r="AQ28" i="6" a="1"/>
  <c r="AR36" i="6" a="1"/>
  <c r="AQ31" i="6" a="1"/>
  <c r="AQ32" i="6" a="1"/>
  <c r="AR19" i="6" a="1"/>
  <c r="AQ26" i="6" a="1"/>
  <c r="AQ50" i="6" a="1"/>
  <c r="AQ49" i="6" a="1"/>
  <c r="AR37" i="6" a="1"/>
  <c r="AR6" i="6" a="1"/>
  <c r="AR10" i="6" a="1"/>
  <c r="AR43" i="6" a="1"/>
  <c r="AR50" i="6" a="1"/>
  <c r="AQ56" i="6" a="1"/>
  <c r="AR21" i="6" a="1"/>
  <c r="AR42" i="6" a="1"/>
  <c r="AQ33" i="6" a="1"/>
  <c r="AR12" i="6" a="1"/>
  <c r="AR58" i="6" a="1"/>
  <c r="AQ57" i="6" a="1"/>
  <c r="AR64" i="6" a="1"/>
  <c r="AR2" i="6" a="1"/>
  <c r="AQ39" i="6" a="1"/>
  <c r="AQ29" i="6" a="1"/>
  <c r="AQ47" i="6" a="1"/>
  <c r="AQ61" i="6" a="1"/>
  <c r="AQ30" i="6" a="1"/>
  <c r="AR40" i="6" a="1"/>
  <c r="AR29" i="6" a="1"/>
  <c r="AQ37" i="6" a="1"/>
  <c r="AQ6" i="6" a="1"/>
  <c r="AQ2" i="6" a="1"/>
  <c r="AQ12" i="6" a="1"/>
  <c r="AQ3" i="6" a="1"/>
  <c r="AR25" i="6" a="1"/>
  <c r="AQ40" i="6" a="1"/>
  <c r="AR33" i="6" a="1"/>
  <c r="AQ7" i="6" a="1"/>
  <c r="AR49" i="6" a="1"/>
  <c r="AQ19" i="6" a="1"/>
  <c r="AR60" i="6" a="1"/>
  <c r="AR7" i="6" a="1"/>
  <c r="AQ54" i="6" a="1"/>
  <c r="AR22" i="6" a="1"/>
  <c r="AR54" i="6" a="1"/>
  <c r="AR24" i="6" a="1"/>
  <c r="AR57" i="6" a="1"/>
  <c r="AR41" i="6" a="1"/>
  <c r="AQ4" i="6" a="1"/>
  <c r="AR62" i="6" a="1"/>
  <c r="AR13" i="6" a="1"/>
  <c r="AQ58" i="6" a="1"/>
  <c r="AR46" i="6" a="1"/>
  <c r="AQ59" i="6" a="1"/>
  <c r="AR17" i="6" a="1"/>
  <c r="AR28" i="6" a="1"/>
  <c r="AQ22" i="6" a="1"/>
  <c r="AQ10" i="6" a="1"/>
  <c r="AQ9" i="6" a="1"/>
  <c r="AR16" i="6" a="1"/>
  <c r="AQ55" i="6" a="1"/>
  <c r="AQ36" i="6" a="1"/>
  <c r="AQ44" i="6" a="1"/>
  <c r="AQ48" i="6" a="1"/>
  <c r="AQ35" i="6" a="1"/>
  <c r="AR32" i="6" a="1"/>
  <c r="AR34" i="6" a="1"/>
  <c r="AR31" i="6" a="1"/>
  <c r="AR55" i="6" a="1"/>
  <c r="AQ17" i="6" a="1"/>
  <c r="AQ16" i="6" a="1"/>
  <c r="AQ14" i="6" a="1"/>
  <c r="AR53" i="6" a="1"/>
  <c r="AR11" i="6" a="1"/>
  <c r="AQ41" i="6" a="1"/>
  <c r="AR15" i="6" a="1"/>
  <c r="AQ21" i="6" a="1"/>
  <c r="AQ5" i="6" a="1"/>
  <c r="AQ63" i="6" a="1"/>
  <c r="AQ64" i="6" a="1"/>
  <c r="AQ46" i="6" a="1"/>
  <c r="AR8" i="6" a="1"/>
  <c r="AQ24" i="6" a="1"/>
  <c r="AR52" i="6" a="1"/>
  <c r="AQ34" i="6" a="1"/>
  <c r="AR35" i="6" a="1"/>
  <c r="AQ52" i="6" a="1"/>
  <c r="AQ45" i="6" a="1"/>
  <c r="AR39" i="6" a="1"/>
  <c r="AQ38" i="6" a="1"/>
  <c r="AR38" i="6" a="1"/>
  <c r="AQ51" i="6" a="1"/>
  <c r="AR51" i="6" a="1"/>
  <c r="AQ42" i="6" a="1"/>
  <c r="AR18" i="6" a="1"/>
  <c r="AR59" i="6" a="1"/>
  <c r="AQ43" i="6" a="1"/>
  <c r="AQ23" i="6" a="1"/>
  <c r="AQ20" i="6" a="1"/>
  <c r="AR9" i="6" a="1"/>
  <c r="AQ53" i="6" a="1"/>
  <c r="AQ13" i="6" a="1"/>
  <c r="AR45" i="6" a="1"/>
  <c r="AR27" i="6" a="1"/>
  <c r="AR48" i="6" a="1"/>
  <c r="AQ11" i="6" a="1"/>
  <c r="AQ15" i="6" a="1"/>
  <c r="AR3" i="6" a="1"/>
  <c r="AQ62" i="6" a="1"/>
  <c r="AR26" i="6" a="1"/>
  <c r="AR47" i="6" a="1"/>
  <c r="AQ27" i="6" a="1"/>
  <c r="AQ25" i="6" a="1"/>
  <c r="AR14" i="6" a="1"/>
  <c r="AR5" i="6" a="1"/>
  <c r="AR20" i="6" a="1"/>
  <c r="AR56" i="6" a="1"/>
  <c r="AR44" i="6" a="1"/>
  <c r="AQ18" i="6" a="1"/>
  <c r="AR23" i="6" a="1"/>
  <c r="AR4" i="6" a="1"/>
  <c r="AQ8" i="6" a="1"/>
  <c r="AR9" i="6" l="1"/>
  <c r="AR42" i="6"/>
  <c r="AR50" i="6"/>
  <c r="AR62" i="6"/>
  <c r="AR17" i="6"/>
  <c r="AR37" i="6"/>
  <c r="AR53" i="6"/>
  <c r="AR18" i="6"/>
  <c r="AR30" i="6"/>
  <c r="AR34" i="6"/>
  <c r="AR38" i="6"/>
  <c r="AR46" i="6"/>
  <c r="AR54" i="6"/>
  <c r="AR58" i="6"/>
  <c r="AR13" i="6"/>
  <c r="AR33" i="6"/>
  <c r="AR49" i="6"/>
  <c r="AR14" i="6"/>
  <c r="AR26" i="6"/>
  <c r="AR7" i="6"/>
  <c r="AR15" i="6"/>
  <c r="AR23" i="6"/>
  <c r="AR31" i="6"/>
  <c r="AR39" i="6"/>
  <c r="AR51" i="6"/>
  <c r="AR63" i="6"/>
  <c r="AR21" i="6"/>
  <c r="AR41" i="6"/>
  <c r="AR57" i="6"/>
  <c r="AR10" i="6"/>
  <c r="AR22" i="6"/>
  <c r="AR3" i="6"/>
  <c r="AR11" i="6"/>
  <c r="AR19" i="6"/>
  <c r="AR27" i="6"/>
  <c r="AR35" i="6"/>
  <c r="AR43" i="6"/>
  <c r="AR47" i="6"/>
  <c r="AR55" i="6"/>
  <c r="AR59" i="6"/>
  <c r="AR29" i="6"/>
  <c r="AR61" i="6"/>
  <c r="AR4" i="6"/>
  <c r="AR12" i="6"/>
  <c r="AR20" i="6"/>
  <c r="AR28" i="6"/>
  <c r="AR36" i="6"/>
  <c r="AR44" i="6"/>
  <c r="AR52" i="6"/>
  <c r="AR64" i="6"/>
  <c r="AR5" i="6"/>
  <c r="AR25" i="6"/>
  <c r="AR45" i="6"/>
  <c r="AR6" i="6"/>
  <c r="AR8" i="6"/>
  <c r="AR16" i="6"/>
  <c r="AR24" i="6"/>
  <c r="AR32" i="6"/>
  <c r="AR40" i="6"/>
  <c r="AR48" i="6"/>
  <c r="AR56" i="6"/>
  <c r="AR60" i="6"/>
  <c r="AR2" i="6"/>
  <c r="AQ61" i="6"/>
  <c r="AQ21" i="6"/>
  <c r="AQ37" i="6"/>
  <c r="AQ6" i="6"/>
  <c r="AQ18" i="6"/>
  <c r="AQ26" i="6"/>
  <c r="AQ46" i="6"/>
  <c r="AQ25" i="6"/>
  <c r="AQ49" i="6"/>
  <c r="AQ14" i="6"/>
  <c r="AQ22" i="6"/>
  <c r="AQ30" i="6"/>
  <c r="AQ34" i="6"/>
  <c r="AQ38" i="6"/>
  <c r="AQ42" i="6"/>
  <c r="AQ50" i="6"/>
  <c r="AQ54" i="6"/>
  <c r="AQ58" i="6"/>
  <c r="AQ62" i="6"/>
  <c r="AQ13" i="6"/>
  <c r="AQ41" i="6"/>
  <c r="AQ10" i="6"/>
  <c r="AQ19" i="6"/>
  <c r="AQ35" i="6"/>
  <c r="AQ43" i="6"/>
  <c r="AQ47" i="6"/>
  <c r="AQ51" i="6"/>
  <c r="AQ55" i="6"/>
  <c r="AQ59" i="6"/>
  <c r="AQ63" i="6"/>
  <c r="AQ17" i="6"/>
  <c r="AQ29" i="6"/>
  <c r="AQ53" i="6"/>
  <c r="AQ7" i="6"/>
  <c r="AQ23" i="6"/>
  <c r="AQ39" i="6"/>
  <c r="AQ5" i="6"/>
  <c r="AQ45" i="6"/>
  <c r="AQ11" i="6"/>
  <c r="AQ27" i="6"/>
  <c r="AQ4" i="6"/>
  <c r="AQ12" i="6"/>
  <c r="AQ20" i="6"/>
  <c r="AQ28" i="6"/>
  <c r="AQ40" i="6"/>
  <c r="AQ52" i="6"/>
  <c r="AQ64" i="6"/>
  <c r="AQ9" i="6"/>
  <c r="AQ33" i="6"/>
  <c r="AQ57" i="6"/>
  <c r="AQ3" i="6"/>
  <c r="AQ15" i="6"/>
  <c r="AQ31" i="6"/>
  <c r="AQ8" i="6"/>
  <c r="AQ16" i="6"/>
  <c r="AQ24" i="6"/>
  <c r="AQ32" i="6"/>
  <c r="AQ36" i="6"/>
  <c r="AQ44" i="6"/>
  <c r="AQ48" i="6"/>
  <c r="AQ56" i="6"/>
  <c r="AQ60" i="6"/>
  <c r="AQ2" i="6"/>
  <c r="A3" i="6"/>
  <c r="A4" i="6" l="1"/>
  <c r="B32" i="5"/>
  <c r="B31" i="5"/>
  <c r="B30" i="5"/>
  <c r="B29" i="5"/>
  <c r="B28" i="5"/>
  <c r="B25" i="5"/>
  <c r="B24" i="5"/>
  <c r="B23" i="5"/>
  <c r="B22" i="5"/>
  <c r="B21" i="5"/>
  <c r="B18" i="5"/>
  <c r="B17" i="5"/>
  <c r="B14" i="5"/>
  <c r="B13" i="5"/>
  <c r="B12" i="5"/>
  <c r="B9" i="5"/>
  <c r="B6" i="5"/>
  <c r="B5" i="5"/>
  <c r="B4" i="5"/>
  <c r="B3" i="5"/>
  <c r="A5" i="6" l="1"/>
  <c r="A29" i="5"/>
  <c r="A30" i="5" s="1"/>
  <c r="A31" i="5" s="1"/>
  <c r="A32" i="5" s="1"/>
  <c r="A6" i="6" l="1"/>
  <c r="A22" i="5"/>
  <c r="A23" i="5" s="1"/>
  <c r="A24" i="5" s="1"/>
  <c r="A25" i="5" s="1"/>
  <c r="A13" i="5"/>
  <c r="A14" i="5" s="1"/>
  <c r="A18" i="5"/>
  <c r="A4" i="5"/>
  <c r="A5" i="5" s="1"/>
  <c r="A6" i="5" s="1"/>
  <c r="A7" i="6" l="1"/>
  <c r="A8" i="6" l="1"/>
  <c r="A9" i="6" l="1"/>
  <c r="A10" i="6" l="1"/>
  <c r="A11" i="6" l="1"/>
  <c r="A12" i="6" l="1"/>
  <c r="A13" i="6" l="1"/>
  <c r="A14" i="6" l="1"/>
  <c r="A15" i="6" l="1"/>
  <c r="A16" i="6" l="1"/>
  <c r="A17" i="6" l="1"/>
  <c r="A18" i="6" l="1"/>
  <c r="A19" i="6" l="1"/>
  <c r="A20" i="6" l="1"/>
  <c r="A21" i="6" l="1"/>
  <c r="A22" i="6" l="1"/>
  <c r="A23" i="6" l="1"/>
  <c r="A24" i="6" l="1"/>
  <c r="A25" i="6" l="1"/>
  <c r="A26" i="6" l="1"/>
  <c r="A27" i="6" l="1"/>
  <c r="A28" i="6" l="1"/>
  <c r="A29" i="6" l="1"/>
  <c r="A30" i="6" l="1"/>
  <c r="A31" i="6" l="1"/>
  <c r="A32" i="6" l="1"/>
  <c r="A33" i="6" l="1"/>
  <c r="A34" i="6" l="1"/>
  <c r="A35" i="6" l="1"/>
  <c r="A36" i="6" l="1"/>
  <c r="A37" i="6" l="1"/>
  <c r="A38" i="6" l="1"/>
  <c r="A39" i="6" l="1"/>
  <c r="A40" i="6" l="1"/>
  <c r="A41" i="6" l="1"/>
  <c r="A42" i="6" l="1"/>
  <c r="A43" i="6" l="1"/>
  <c r="A44" i="6" l="1"/>
  <c r="A45" i="6" l="1"/>
  <c r="A46" i="6" l="1"/>
  <c r="A47" i="6" l="1"/>
  <c r="A48" i="6" l="1"/>
  <c r="A49" i="6" l="1"/>
  <c r="A50" i="6" l="1"/>
  <c r="A51" i="6" l="1"/>
  <c r="A52" i="6" l="1"/>
  <c r="A53" i="6" l="1"/>
  <c r="A54" i="6" l="1"/>
  <c r="A55" i="6" l="1"/>
  <c r="A56" i="6" l="1"/>
  <c r="A57" i="6" l="1"/>
  <c r="A58" i="6" l="1"/>
  <c r="A59" i="6" l="1"/>
  <c r="A60" i="6" s="1"/>
  <c r="A61" i="6" s="1"/>
  <c r="A62" i="6" s="1"/>
  <c r="A63" i="6" s="1"/>
  <c r="A64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<sst xmlns="http://schemas.openxmlformats.org/spreadsheetml/2006/main" count="735" uniqueCount="325">
  <si>
    <t>Workbook 1:</t>
  </si>
  <si>
    <t>Revision:</t>
  </si>
  <si>
    <t>F0</t>
  </si>
  <si>
    <t>Line Pressure</t>
  </si>
  <si>
    <t>Base Pressure</t>
  </si>
  <si>
    <t>Line Temperature</t>
  </si>
  <si>
    <t>Base temperature</t>
  </si>
  <si>
    <t>Component</t>
  </si>
  <si>
    <t>DRY GAS</t>
  </si>
  <si>
    <t>AGA 10:2003</t>
  </si>
  <si>
    <t>Speed of Sound</t>
  </si>
  <si>
    <t>mole.%</t>
  </si>
  <si>
    <t>C1</t>
  </si>
  <si>
    <t>m/s</t>
  </si>
  <si>
    <t>CO2</t>
  </si>
  <si>
    <t>Isentropic Exponent</t>
  </si>
  <si>
    <t>-</t>
  </si>
  <si>
    <t>N2</t>
  </si>
  <si>
    <t>C2</t>
  </si>
  <si>
    <t>C3</t>
  </si>
  <si>
    <t>iC4</t>
  </si>
  <si>
    <t>nC4</t>
  </si>
  <si>
    <t>iC5</t>
  </si>
  <si>
    <t>nC5</t>
  </si>
  <si>
    <t>NeoC5</t>
  </si>
  <si>
    <t>C6</t>
  </si>
  <si>
    <t>Benzene</t>
  </si>
  <si>
    <t>Toluene</t>
  </si>
  <si>
    <t>C7</t>
  </si>
  <si>
    <t>C8</t>
  </si>
  <si>
    <t>C9</t>
  </si>
  <si>
    <t>C10</t>
  </si>
  <si>
    <t>He</t>
  </si>
  <si>
    <t>Ar</t>
  </si>
  <si>
    <t>H2O</t>
  </si>
  <si>
    <t>H2S</t>
  </si>
  <si>
    <t>H2</t>
  </si>
  <si>
    <t>CO</t>
  </si>
  <si>
    <t>O2</t>
  </si>
  <si>
    <t>SUM</t>
  </si>
  <si>
    <t>INSTRUCTIONS:</t>
  </si>
  <si>
    <t>1. Type or extract composition from existing Excel or CSV file</t>
  </si>
  <si>
    <t>Existing excel/CSV file should have compound names in one column and composition values in next column</t>
  </si>
  <si>
    <t>Import macro can recognise different synonims for same compound i.e. Iso-Butane, iC4, i-C4 etc.</t>
  </si>
  <si>
    <t>ISO6976</t>
  </si>
  <si>
    <t>Output</t>
  </si>
  <si>
    <t>Function</t>
  </si>
  <si>
    <t>Property</t>
  </si>
  <si>
    <t>Unit</t>
  </si>
  <si>
    <t>Molecular Weight</t>
  </si>
  <si>
    <t>g/mol</t>
  </si>
  <si>
    <t>Compressibility Factor</t>
  </si>
  <si>
    <t>Relative density (Real)</t>
  </si>
  <si>
    <t>Aboslute density (Real)</t>
  </si>
  <si>
    <t>kg/m3</t>
  </si>
  <si>
    <t>Wobbe Index</t>
  </si>
  <si>
    <t>MJ/m3</t>
  </si>
  <si>
    <t>Mass Superior Calorific value - Real</t>
  </si>
  <si>
    <t>MJ/kg</t>
  </si>
  <si>
    <t>Volume Superior Calorific value - Real</t>
  </si>
  <si>
    <t>AGA8</t>
  </si>
  <si>
    <t>Density</t>
  </si>
  <si>
    <r>
      <t>kg/m</t>
    </r>
    <r>
      <rPr>
        <vertAlign val="superscript"/>
        <sz val="10"/>
        <color theme="1"/>
        <rFont val="Calibri"/>
        <family val="2"/>
        <scheme val="minor"/>
      </rPr>
      <t>3</t>
    </r>
  </si>
  <si>
    <t>Line Compressibility</t>
  </si>
  <si>
    <t/>
  </si>
  <si>
    <t>AGA10</t>
  </si>
  <si>
    <t>Sound Speed</t>
  </si>
  <si>
    <t>Isentropic factor</t>
  </si>
  <si>
    <t>API 14.5</t>
  </si>
  <si>
    <t>Molecular weight</t>
  </si>
  <si>
    <t>lb/lbmol</t>
  </si>
  <si>
    <t>Compressibility of dry gas</t>
  </si>
  <si>
    <t>Compressibility of dry air</t>
  </si>
  <si>
    <t>Real relative density</t>
  </si>
  <si>
    <t>Ideal Calorific value - Dry Gas</t>
  </si>
  <si>
    <r>
      <t>BTU/ft</t>
    </r>
    <r>
      <rPr>
        <vertAlign val="superscript"/>
        <sz val="10"/>
        <color theme="1"/>
        <rFont val="Calibri"/>
        <family val="2"/>
        <scheme val="minor"/>
      </rPr>
      <t>3</t>
    </r>
  </si>
  <si>
    <t>LNG/LPG</t>
  </si>
  <si>
    <t>LNG Density</t>
  </si>
  <si>
    <t>Calorific Value</t>
  </si>
  <si>
    <t>MJ/mole</t>
  </si>
  <si>
    <r>
      <t>MJ/m</t>
    </r>
    <r>
      <rPr>
        <vertAlign val="superscript"/>
        <sz val="10"/>
        <color theme="1"/>
        <rFont val="Calibri"/>
        <family val="2"/>
        <scheme val="minor"/>
      </rPr>
      <t>3</t>
    </r>
  </si>
  <si>
    <t>ID</t>
  </si>
  <si>
    <t>Compound</t>
  </si>
  <si>
    <t>Alias 1</t>
  </si>
  <si>
    <t>Alias 2</t>
  </si>
  <si>
    <t>Alias3</t>
  </si>
  <si>
    <t>Alias4</t>
  </si>
  <si>
    <t>Alias5</t>
  </si>
  <si>
    <t>Alias6</t>
  </si>
  <si>
    <t>Alias7</t>
  </si>
  <si>
    <t>Alias8</t>
  </si>
  <si>
    <t>MW</t>
  </si>
  <si>
    <t>b0</t>
  </si>
  <si>
    <t>b15</t>
  </si>
  <si>
    <t>b20</t>
  </si>
  <si>
    <t>HS0</t>
  </si>
  <si>
    <t>HS15</t>
  </si>
  <si>
    <t>HS20</t>
  </si>
  <si>
    <t>HS25</t>
  </si>
  <si>
    <t>HI0</t>
  </si>
  <si>
    <t>HI15</t>
  </si>
  <si>
    <t>HI20</t>
  </si>
  <si>
    <t>HI25</t>
  </si>
  <si>
    <t>LPG A</t>
  </si>
  <si>
    <t>LPG B</t>
  </si>
  <si>
    <t>LPG C</t>
  </si>
  <si>
    <t>LPG E</t>
  </si>
  <si>
    <t>LPG VM15</t>
  </si>
  <si>
    <t>LPG VM20</t>
  </si>
  <si>
    <t>LPG VM60</t>
  </si>
  <si>
    <t>T-180</t>
  </si>
  <si>
    <t>T-175</t>
  </si>
  <si>
    <t>T-170</t>
  </si>
  <si>
    <t>T-165</t>
  </si>
  <si>
    <t>T-160</t>
  </si>
  <si>
    <t>T-155</t>
  </si>
  <si>
    <t>T-150</t>
  </si>
  <si>
    <t>T-145</t>
  </si>
  <si>
    <t>T-140</t>
  </si>
  <si>
    <t>GPA HS60</t>
  </si>
  <si>
    <t>GPA B60</t>
  </si>
  <si>
    <t>GPA HS15</t>
  </si>
  <si>
    <t>GPA B15</t>
  </si>
  <si>
    <t>B60</t>
  </si>
  <si>
    <t>HS60</t>
  </si>
  <si>
    <t>Methane</t>
  </si>
  <si>
    <t>CH4</t>
  </si>
  <si>
    <t>nC1</t>
  </si>
  <si>
    <t>Ethane</t>
  </si>
  <si>
    <t>C2H6</t>
  </si>
  <si>
    <t>nC2</t>
  </si>
  <si>
    <t>Propane</t>
  </si>
  <si>
    <t>C3H8</t>
  </si>
  <si>
    <t>nC3</t>
  </si>
  <si>
    <t>n-Butane</t>
  </si>
  <si>
    <t>C4H10</t>
  </si>
  <si>
    <t>n-C4</t>
  </si>
  <si>
    <t>Butane</t>
  </si>
  <si>
    <t>n_Butane</t>
  </si>
  <si>
    <t>i-Butane</t>
  </si>
  <si>
    <t>i-C4</t>
  </si>
  <si>
    <t>2-methylpropane</t>
  </si>
  <si>
    <t>Iso-Butane</t>
  </si>
  <si>
    <t>i_Butane</t>
  </si>
  <si>
    <t>n-Pentane</t>
  </si>
  <si>
    <t>C5H12</t>
  </si>
  <si>
    <t>n-C5</t>
  </si>
  <si>
    <t>Pentane</t>
  </si>
  <si>
    <t>n_Pentane</t>
  </si>
  <si>
    <t>i-Pentane</t>
  </si>
  <si>
    <t>i-C5</t>
  </si>
  <si>
    <t>2-Methylbutane</t>
  </si>
  <si>
    <t>Iso-Pentane</t>
  </si>
  <si>
    <t>i_Pentane</t>
  </si>
  <si>
    <t>Neo-Pentane</t>
  </si>
  <si>
    <t>Neo-C5</t>
  </si>
  <si>
    <t>Neopentane</t>
  </si>
  <si>
    <t>tetramethylmethane</t>
  </si>
  <si>
    <t>neo_Pentane</t>
  </si>
  <si>
    <t>Hexane</t>
  </si>
  <si>
    <t>C6H14</t>
  </si>
  <si>
    <t>nC6</t>
  </si>
  <si>
    <t>Hexanes</t>
  </si>
  <si>
    <t>2-Methylpentane</t>
  </si>
  <si>
    <t>1,1-Dimethylbutane</t>
  </si>
  <si>
    <t>3-Methylpentane</t>
  </si>
  <si>
    <t>2,2-Dimethylbutane</t>
  </si>
  <si>
    <t>Neo-C6</t>
  </si>
  <si>
    <t>Neohexane</t>
  </si>
  <si>
    <t>22DMB</t>
  </si>
  <si>
    <t>2,2-DMB</t>
  </si>
  <si>
    <t>2,3-Dimethylbutane</t>
  </si>
  <si>
    <t>2,3-DMB</t>
  </si>
  <si>
    <t>Heptane</t>
  </si>
  <si>
    <t>C7H16</t>
  </si>
  <si>
    <t>nC7</t>
  </si>
  <si>
    <t>n-C7</t>
  </si>
  <si>
    <t>Octane</t>
  </si>
  <si>
    <t>C8H18</t>
  </si>
  <si>
    <t>nC8</t>
  </si>
  <si>
    <t>n-C8</t>
  </si>
  <si>
    <t>Nonane</t>
  </si>
  <si>
    <t>C9H20</t>
  </si>
  <si>
    <t>nC9</t>
  </si>
  <si>
    <t>n-C9</t>
  </si>
  <si>
    <t>Decane</t>
  </si>
  <si>
    <t>C10H22</t>
  </si>
  <si>
    <t>nC10</t>
  </si>
  <si>
    <t>n-C10</t>
  </si>
  <si>
    <t>Ethylene</t>
  </si>
  <si>
    <t>C2H4</t>
  </si>
  <si>
    <t>Ethene</t>
  </si>
  <si>
    <t>Acetene</t>
  </si>
  <si>
    <t>acetene</t>
  </si>
  <si>
    <t>Elayl</t>
  </si>
  <si>
    <t>olefiant gas</t>
  </si>
  <si>
    <t>Propylene</t>
  </si>
  <si>
    <t>C3H6</t>
  </si>
  <si>
    <t>Propene</t>
  </si>
  <si>
    <t>1-Propene</t>
  </si>
  <si>
    <t>Methylethylene</t>
  </si>
  <si>
    <t>1-Butene</t>
  </si>
  <si>
    <t>C4H8</t>
  </si>
  <si>
    <t>1-butene</t>
  </si>
  <si>
    <t>1-Butylene</t>
  </si>
  <si>
    <t>α-Butylene</t>
  </si>
  <si>
    <t>Ethylethylene</t>
  </si>
  <si>
    <t>cis-2-Butene</t>
  </si>
  <si>
    <t>2-butene</t>
  </si>
  <si>
    <t>c-2-butene</t>
  </si>
  <si>
    <t>c,2-Butene</t>
  </si>
  <si>
    <t>cis-2-butene</t>
  </si>
  <si>
    <t>trans-2-Butene</t>
  </si>
  <si>
    <t>2-Methylpropene</t>
  </si>
  <si>
    <t>Isobutylene</t>
  </si>
  <si>
    <t>1-Pentene</t>
  </si>
  <si>
    <t>C5H10</t>
  </si>
  <si>
    <t>Propylethylene</t>
  </si>
  <si>
    <t>pentene</t>
  </si>
  <si>
    <t>propylethylene</t>
  </si>
  <si>
    <t>1-pentene</t>
  </si>
  <si>
    <t>Propadiene</t>
  </si>
  <si>
    <t>C3H4</t>
  </si>
  <si>
    <t>Allene</t>
  </si>
  <si>
    <t>propadiene</t>
  </si>
  <si>
    <t>allene</t>
  </si>
  <si>
    <t>1,2-Butadiene</t>
  </si>
  <si>
    <t>C4H6</t>
  </si>
  <si>
    <t>Methylallene</t>
  </si>
  <si>
    <t>1-Methylallene</t>
  </si>
  <si>
    <t>buta-1,2-diene</t>
  </si>
  <si>
    <t>1,3-Butadiene</t>
  </si>
  <si>
    <t>Divinyl</t>
  </si>
  <si>
    <t>Buta-1,3-diene</t>
  </si>
  <si>
    <t>Acetylene</t>
  </si>
  <si>
    <t>C2H2</t>
  </si>
  <si>
    <t>Ethyne</t>
  </si>
  <si>
    <t>Ethine</t>
  </si>
  <si>
    <t>vinylene</t>
  </si>
  <si>
    <t>ethenylene</t>
  </si>
  <si>
    <t>Cyclopentane</t>
  </si>
  <si>
    <t>1-Isopropyl-3-methylcyclopentane</t>
  </si>
  <si>
    <t>Methylcyclopentane</t>
  </si>
  <si>
    <t>C6H12</t>
  </si>
  <si>
    <t>Ethylcyclopentane</t>
  </si>
  <si>
    <t>C7H14</t>
  </si>
  <si>
    <t>Aethyl-cyclopentan</t>
  </si>
  <si>
    <t>Cyclopentane,ethyl</t>
  </si>
  <si>
    <t>Cyclohexane</t>
  </si>
  <si>
    <t>Naphthene</t>
  </si>
  <si>
    <t>cyclo-hexane</t>
  </si>
  <si>
    <t>Methylcyclohexane</t>
  </si>
  <si>
    <t>Hexahydrotoluene</t>
  </si>
  <si>
    <t>Cyclohexane, methyl-</t>
  </si>
  <si>
    <t>Ethylcyclohexane</t>
  </si>
  <si>
    <t>C8H16</t>
  </si>
  <si>
    <t>Cyclohexane, ethyl-</t>
  </si>
  <si>
    <t>C6H6</t>
  </si>
  <si>
    <t>Cyclohexatriene</t>
  </si>
  <si>
    <t>benzole</t>
  </si>
  <si>
    <t>C7H8</t>
  </si>
  <si>
    <t>methylbenzene</t>
  </si>
  <si>
    <t>Phenylmethane</t>
  </si>
  <si>
    <t>toluol</t>
  </si>
  <si>
    <t>Ethylbenzene</t>
  </si>
  <si>
    <t>C8H10</t>
  </si>
  <si>
    <t>Phenylethane</t>
  </si>
  <si>
    <t>Ethylbenzol</t>
  </si>
  <si>
    <t>Benzene, ethyl-</t>
  </si>
  <si>
    <t>O-Xylene</t>
  </si>
  <si>
    <t>Ortho-Xylene</t>
  </si>
  <si>
    <t>1,2-Xylene</t>
  </si>
  <si>
    <t>Methanol</t>
  </si>
  <si>
    <t>CH4O</t>
  </si>
  <si>
    <t>methyl alcohol</t>
  </si>
  <si>
    <t>Methanethiol</t>
  </si>
  <si>
    <t>CH4S</t>
  </si>
  <si>
    <t>Methylmercaptan</t>
  </si>
  <si>
    <t>Mercaptomethane</t>
  </si>
  <si>
    <t>Methyl sulfhydrate</t>
  </si>
  <si>
    <t>Hydrogen</t>
  </si>
  <si>
    <t>Water</t>
  </si>
  <si>
    <t>Hydrogen Sulphide</t>
  </si>
  <si>
    <t>Ammonia</t>
  </si>
  <si>
    <t>NH3</t>
  </si>
  <si>
    <t>Hydrogen cyanide</t>
  </si>
  <si>
    <t>HCN</t>
  </si>
  <si>
    <t>Carbon Monoxide</t>
  </si>
  <si>
    <t>Carbonyl sulfide</t>
  </si>
  <si>
    <t>OCS</t>
  </si>
  <si>
    <t>Carbon disulfide</t>
  </si>
  <si>
    <t>CS2</t>
  </si>
  <si>
    <t>Helium</t>
  </si>
  <si>
    <t>Neon</t>
  </si>
  <si>
    <t>Ne</t>
  </si>
  <si>
    <t>Argon</t>
  </si>
  <si>
    <t>Nitrogen</t>
  </si>
  <si>
    <t>Oxygen</t>
  </si>
  <si>
    <t>Carbon Dioxide</t>
  </si>
  <si>
    <t>Sulphur Dioxide</t>
  </si>
  <si>
    <t>SO2</t>
  </si>
  <si>
    <t>Nitrous oxide</t>
  </si>
  <si>
    <t>N2O</t>
  </si>
  <si>
    <t>Krypton</t>
  </si>
  <si>
    <t>Kr</t>
  </si>
  <si>
    <t>Xenon</t>
  </si>
  <si>
    <t>Xe</t>
  </si>
  <si>
    <t>Air</t>
  </si>
  <si>
    <t>Hexanes Plus</t>
  </si>
  <si>
    <t>C6+</t>
  </si>
  <si>
    <t>Undecane</t>
  </si>
  <si>
    <t>C11</t>
  </si>
  <si>
    <t>Dodecane</t>
  </si>
  <si>
    <t>C12</t>
  </si>
  <si>
    <t>Tridecane</t>
  </si>
  <si>
    <t>C13</t>
  </si>
  <si>
    <t>2. Select base conditions (G8, G9)</t>
  </si>
  <si>
    <t>2. Fill in Process Temperature and Pressure (C8, C9)</t>
  </si>
  <si>
    <t>Select Meas Units</t>
  </si>
  <si>
    <t>Hyperlink</t>
  </si>
  <si>
    <t>Line Density</t>
  </si>
  <si>
    <t>SI</t>
  </si>
  <si>
    <t>bar.a</t>
  </si>
  <si>
    <t>°C</t>
  </si>
  <si>
    <t>Standard Density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</si>
</sst>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0.000000"/>
    <numFmt numFmtId="167" formatCode="0.0000"/>
  </numFmts>
  <fonts count="27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sz val="10"/>
      <color theme="1"/>
      <name val="Calibri"/>
      <family val="2"/>
      <charset val="238"/>
      <scheme val="minor"/>
    </font>
    <font>
      <b/>
      <sz val="10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0"/>
      <color rgb="FF002060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0000FF"/>
      <name val="Calibri"/>
      <family val="2"/>
      <charset val="238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0"/>
      <color rgb="FF7030A0"/>
      <name val="Calibri"/>
      <family val="2"/>
      <charset val="238"/>
      <scheme val="minor"/>
    </font>
    <font>
      <sz val="8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mbria"/>
      <family val="1"/>
      <charset val="238"/>
    </font>
    <font>
      <b/>
      <sz val="10"/>
      <color rgb="FF002060"/>
      <name val="Calibri"/>
      <family val="2"/>
      <scheme val="minor"/>
    </font>
    <font>
      <b/>
      <sz val="10"/>
      <color rgb="FF002060"/>
      <name val="Cambria"/>
      <family val="1"/>
      <charset val="238"/>
    </font>
    <font>
      <sz val="9"/>
      <color theme="4" tint="-0.249977111117893"/>
      <name val="Cambria"/>
      <family val="1"/>
      <charset val="238"/>
    </font>
    <font>
      <sz val="10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rgb="FF006633"/>
      <name val="Calibri"/>
      <family val="2"/>
      <charset val="238"/>
      <scheme val="minor"/>
    </font>
    <font>
      <u/>
      <sz val="10"/>
      <color rgb="FF00663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rgb="FF002060"/>
      </top>
      <bottom style="thin">
        <color rgb="FF002060"/>
      </bottom>
      <diagonal/>
    </border>
    <border>
      <left/>
      <right/>
      <top style="thin">
        <color rgb="FF002060"/>
      </top>
      <bottom/>
      <diagonal/>
    </border>
    <border>
      <left/>
      <right/>
      <top/>
      <bottom style="thin">
        <color rgb="FF002060"/>
      </bottom>
      <diagonal/>
    </border>
    <border>
      <left/>
      <right/>
      <top style="medium">
        <color rgb="FF002060"/>
      </top>
      <bottom/>
      <diagonal/>
    </border>
    <border>
      <left/>
      <right/>
      <top/>
      <bottom style="medium">
        <color rgb="FF00304E"/>
      </bottom>
      <diagonal/>
    </border>
    <border>
      <left/>
      <right/>
      <top style="thin">
        <color rgb="FF00304E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24" fillId="0" borderId="0" applyNumberFormat="0" applyFill="0" applyBorder="0" applyAlignment="0" applyProtection="0"/>
  </cellStyleXfs>
  <cellXfs count="89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0" fillId="0" borderId="0" xfId="0" applyAlignment="1">
      <alignment horizontal="center"/>
    </xf>
    <xf numFmtId="0" fontId="8" fillId="0" borderId="0" xfId="0" applyFont="1" applyAlignment="1">
      <alignment horizontal="center"/>
    </xf>
    <xf numFmtId="0" fontId="0" fillId="0" borderId="2" xfId="0" applyBorder="1"/>
    <xf numFmtId="0" fontId="8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/>
    <xf numFmtId="0" fontId="1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8" fillId="0" borderId="2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2" fillId="0" borderId="4" xfId="0" applyFont="1" applyBorder="1"/>
    <xf numFmtId="0" fontId="12" fillId="0" borderId="4" xfId="0" applyFont="1" applyBorder="1" applyAlignment="1">
      <alignment horizontal="right"/>
    </xf>
    <xf numFmtId="0" fontId="1" fillId="0" borderId="5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13" fillId="0" borderId="0" xfId="0" applyFont="1" applyAlignment="1">
      <alignment horizontal="left"/>
    </xf>
    <xf numFmtId="0" fontId="14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165" fontId="0" fillId="0" borderId="0" xfId="0" applyNumberFormat="1"/>
    <xf numFmtId="165" fontId="1" fillId="0" borderId="0" xfId="0" applyNumberFormat="1" applyFont="1" applyAlignment="1">
      <alignment horizontal="left"/>
    </xf>
    <xf numFmtId="0" fontId="16" fillId="0" borderId="4" xfId="0" applyFont="1" applyBorder="1"/>
    <xf numFmtId="0" fontId="7" fillId="2" borderId="0" xfId="0" applyFont="1" applyFill="1" applyAlignment="1">
      <alignment horizontal="left"/>
    </xf>
    <xf numFmtId="0" fontId="4" fillId="2" borderId="0" xfId="0" applyFont="1" applyFill="1" applyAlignment="1">
      <alignment horizontal="center"/>
    </xf>
    <xf numFmtId="0" fontId="0" fillId="2" borderId="0" xfId="0" applyFill="1"/>
    <xf numFmtId="0" fontId="2" fillId="2" borderId="2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6" fillId="0" borderId="0" xfId="0" applyFont="1"/>
    <xf numFmtId="0" fontId="1" fillId="0" borderId="6" xfId="0" applyFont="1" applyBorder="1" applyAlignment="1">
      <alignment horizontal="left"/>
    </xf>
    <xf numFmtId="165" fontId="17" fillId="0" borderId="0" xfId="0" applyNumberFormat="1" applyFont="1"/>
    <xf numFmtId="0" fontId="11" fillId="0" borderId="0" xfId="0" applyFont="1"/>
    <xf numFmtId="165" fontId="11" fillId="0" borderId="0" xfId="0" applyNumberFormat="1" applyFont="1"/>
    <xf numFmtId="165" fontId="18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1" fillId="2" borderId="3" xfId="0" applyFont="1" applyFill="1" applyBorder="1" applyAlignment="1" applyProtection="1">
      <alignment horizontal="left"/>
      <protection locked="0"/>
    </xf>
    <xf numFmtId="0" fontId="2" fillId="0" borderId="1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9" fillId="0" borderId="3" xfId="0" applyFont="1" applyBorder="1"/>
    <xf numFmtId="0" fontId="9" fillId="0" borderId="2" xfId="0" applyFont="1" applyBorder="1"/>
    <xf numFmtId="0" fontId="19" fillId="0" borderId="0" xfId="0" applyFont="1"/>
    <xf numFmtId="0" fontId="19" fillId="0" borderId="0" xfId="0" applyFont="1" applyAlignment="1">
      <alignment horizontal="center"/>
    </xf>
    <xf numFmtId="164" fontId="19" fillId="0" borderId="0" xfId="0" applyNumberFormat="1" applyFont="1" applyAlignment="1">
      <alignment horizontal="center"/>
    </xf>
    <xf numFmtId="0" fontId="20" fillId="0" borderId="2" xfId="0" applyFont="1" applyBorder="1" applyAlignment="1">
      <alignment horizontal="left"/>
    </xf>
    <xf numFmtId="0" fontId="20" fillId="0" borderId="0" xfId="0" applyFont="1" applyAlignment="1">
      <alignment horizontal="left"/>
    </xf>
    <xf numFmtId="0" fontId="21" fillId="0" borderId="0" xfId="0" applyFont="1"/>
    <xf numFmtId="0" fontId="19" fillId="0" borderId="2" xfId="0" applyFont="1" applyBorder="1"/>
    <xf numFmtId="0" fontId="19" fillId="0" borderId="3" xfId="0" applyFont="1" applyBorder="1"/>
    <xf numFmtId="0" fontId="22" fillId="0" borderId="0" xfId="0" applyFont="1" applyAlignment="1">
      <alignment horizontal="left"/>
    </xf>
    <xf numFmtId="0" fontId="1" fillId="0" borderId="3" xfId="0" applyFont="1" applyBorder="1" applyAlignment="1">
      <alignment horizontal="left"/>
    </xf>
    <xf numFmtId="0" fontId="0" fillId="0" borderId="5" xfId="0" applyBorder="1"/>
    <xf numFmtId="166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165" fontId="16" fillId="0" borderId="3" xfId="0" applyNumberFormat="1" applyFont="1" applyBorder="1"/>
    <xf numFmtId="0" fontId="4" fillId="2" borderId="0" xfId="0" applyFont="1" applyFill="1"/>
    <xf numFmtId="0" fontId="23" fillId="2" borderId="0" xfId="0" applyFont="1" applyFill="1"/>
    <xf numFmtId="165" fontId="1" fillId="0" borderId="6" xfId="0" applyNumberFormat="1" applyFont="1" applyBorder="1" applyAlignment="1" applyProtection="1">
      <alignment horizontal="left"/>
      <protection locked="0"/>
    </xf>
    <xf numFmtId="165" fontId="1" fillId="0" borderId="0" xfId="0" applyNumberFormat="1" applyFont="1" applyAlignment="1" applyProtection="1">
      <alignment horizontal="left"/>
      <protection locked="0"/>
    </xf>
    <xf numFmtId="165" fontId="1" fillId="0" borderId="5" xfId="0" applyNumberFormat="1" applyFont="1" applyBorder="1" applyAlignment="1">
      <alignment horizontal="left"/>
    </xf>
    <xf numFmtId="0" fontId="2" fillId="0" borderId="0" xfId="0" applyFont="1" applyAlignment="1">
      <alignment horizontal="left"/>
    </xf>
    <xf numFmtId="0" fontId="1" fillId="2" borderId="7" xfId="0" applyFont="1" applyFill="1" applyBorder="1" applyAlignment="1" applyProtection="1">
      <alignment horizontal="left"/>
      <protection locked="0"/>
    </xf>
    <xf numFmtId="0" fontId="7" fillId="2" borderId="0" xfId="0" applyFont="1" applyFill="1" applyAlignment="1" applyProtection="1">
      <alignment horizontal="left"/>
      <protection locked="0"/>
    </xf>
    <xf numFmtId="0" fontId="6" fillId="0" borderId="0" xfId="0" applyFont="1" applyAlignment="1" applyProtection="1">
      <alignment horizontal="left"/>
      <protection locked="0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14" fillId="0" borderId="0" xfId="0" applyFont="1" applyAlignment="1" applyProtection="1">
      <alignment horizontal="left"/>
      <protection locked="0"/>
    </xf>
    <xf numFmtId="0" fontId="14" fillId="0" borderId="0" xfId="0" applyFont="1" applyProtection="1">
      <protection locked="0"/>
    </xf>
    <xf numFmtId="0" fontId="15" fillId="0" borderId="0" xfId="0" applyFont="1" applyAlignment="1" applyProtection="1">
      <alignment horizontal="left"/>
      <protection locked="0"/>
    </xf>
    <xf numFmtId="0" fontId="4" fillId="0" borderId="0" xfId="0" applyFont="1" applyAlignment="1">
      <alignment horizontal="left"/>
    </xf>
    <xf numFmtId="0" fontId="25" fillId="0" borderId="0" xfId="0" applyFont="1" applyProtection="1">
      <protection locked="0"/>
    </xf>
    <xf numFmtId="0" fontId="7" fillId="2" borderId="2" xfId="0" applyFont="1" applyFill="1" applyBorder="1" applyAlignment="1">
      <alignment horizontal="left"/>
    </xf>
    <xf numFmtId="0" fontId="4" fillId="2" borderId="2" xfId="0" applyFont="1" applyFill="1" applyBorder="1" applyAlignment="1" applyProtection="1">
      <alignment horizontal="left"/>
      <protection locked="0"/>
    </xf>
    <xf numFmtId="0" fontId="4" fillId="2" borderId="2" xfId="0" applyFont="1" applyFill="1" applyBorder="1" applyAlignment="1">
      <alignment horizontal="left"/>
    </xf>
    <xf numFmtId="0" fontId="7" fillId="2" borderId="3" xfId="0" applyFont="1" applyFill="1" applyBorder="1" applyAlignment="1">
      <alignment horizontal="left"/>
    </xf>
    <xf numFmtId="0" fontId="4" fillId="2" borderId="3" xfId="0" applyFont="1" applyFill="1" applyBorder="1" applyAlignment="1" applyProtection="1">
      <alignment horizontal="left"/>
      <protection locked="0"/>
    </xf>
    <xf numFmtId="0" fontId="4" fillId="2" borderId="3" xfId="0" applyFont="1" applyFill="1" applyBorder="1" applyAlignment="1">
      <alignment horizontal="left"/>
    </xf>
    <xf numFmtId="0" fontId="26" fillId="0" borderId="0" xfId="1" applyFont="1" applyProtection="1">
      <protection locked="0"/>
    </xf>
    <xf numFmtId="167" fontId="1" fillId="0" borderId="2" xfId="0" applyNumberFormat="1" applyFont="1" applyBorder="1" applyAlignment="1">
      <alignment horizontal="left"/>
    </xf>
    <xf numFmtId="167" fontId="1" fillId="0" borderId="0" xfId="0" applyNumberFormat="1" applyFont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38100</xdr:rowOff>
        </xdr:from>
        <xdr:to>
          <xdr:col>8</xdr:col>
          <xdr:colOff>0</xdr:colOff>
          <xdr:row>10</xdr:row>
          <xdr:rowOff>133350</xdr:rowOff>
        </xdr:to>
        <xdr:sp macro="" textlink="">
          <xdr:nvSpPr>
            <xdr:cNvPr id="1112" name="CommandButton1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I57"/>
  <sheetViews>
    <sheetView showGridLines="0" tabSelected="1" showWhiteSpace="0" view="pageLayout" topLeftCell="A3" zoomScaleNormal="100" workbookViewId="0">
      <selection activeCell="G23" sqref="G23"/>
    </sheetView>
  </sheetViews>
  <sheetFormatPr defaultRowHeight="15" x14ac:dyDescent="0.25"/>
  <cols>
    <col min="1" max="1" width="4.7109375" customWidth="1"/>
    <col min="2" max="2" width="16.28515625" customWidth="1"/>
    <col min="3" max="4" width="11.85546875" customWidth="1"/>
    <col min="5" max="5" width="6.5703125" customWidth="1"/>
    <col min="6" max="6" width="30.42578125" customWidth="1"/>
    <col min="7" max="7" width="17.28515625" customWidth="1"/>
    <col min="8" max="8" width="9.7109375" customWidth="1"/>
    <col min="9" max="9" width="5.42578125" customWidth="1"/>
    <col min="10" max="10" width="12" bestFit="1" customWidth="1"/>
  </cols>
  <sheetData>
    <row r="2" spans="1:9" x14ac:dyDescent="0.25">
      <c r="A2" s="2"/>
      <c r="B2" s="53" t="s">
        <v>0</v>
      </c>
      <c r="C2" s="17" t="s">
        <v>10</v>
      </c>
      <c r="D2" s="8"/>
      <c r="E2" s="8"/>
      <c r="F2" s="9"/>
      <c r="G2" s="10"/>
      <c r="H2" s="11"/>
    </row>
    <row r="3" spans="1:9" x14ac:dyDescent="0.25">
      <c r="A3" s="2"/>
      <c r="B3" s="54" t="s">
        <v>1</v>
      </c>
      <c r="C3" s="18" t="s">
        <v>2</v>
      </c>
      <c r="F3" s="7"/>
      <c r="G3" s="1"/>
      <c r="H3" s="6"/>
    </row>
    <row r="4" spans="1:9" x14ac:dyDescent="0.25">
      <c r="A4" s="2"/>
      <c r="F4" s="1"/>
      <c r="G4" s="1"/>
      <c r="H4" s="6"/>
    </row>
    <row r="5" spans="1:9" ht="21.75" customHeight="1" x14ac:dyDescent="0.25">
      <c r="A5" s="2"/>
      <c r="B5" s="12"/>
      <c r="C5" s="12"/>
      <c r="D5" s="12"/>
      <c r="E5" s="12"/>
      <c r="F5" s="13"/>
      <c r="G5" s="13"/>
      <c r="H5" s="14"/>
    </row>
    <row r="6" spans="1:9" x14ac:dyDescent="0.25">
      <c r="A6" s="2"/>
      <c r="B6" s="32"/>
      <c r="C6" s="32"/>
      <c r="D6" s="32"/>
      <c r="E6" s="32"/>
      <c r="F6" s="30" t="s">
        <v>318</v>
      </c>
      <c r="G6" s="71" t="s">
        <v>321</v>
      </c>
      <c r="H6" s="65" t="str">
        <f>IF(G6="SI","Metric","Imperial")</f>
        <v>Metric</v>
      </c>
    </row>
    <row r="7" spans="1:9" x14ac:dyDescent="0.25">
      <c r="A7" s="4"/>
      <c r="B7" s="30"/>
      <c r="C7" s="30"/>
      <c r="D7" s="30"/>
      <c r="E7" s="31"/>
      <c r="F7" s="64"/>
      <c r="G7" s="31"/>
      <c r="H7" s="30"/>
    </row>
    <row r="8" spans="1:9" x14ac:dyDescent="0.25">
      <c r="A8" s="1"/>
      <c r="B8" s="33" t="s">
        <v>3</v>
      </c>
      <c r="C8" s="70">
        <v>40</v>
      </c>
      <c r="D8" s="34" t="s">
        <v>322</v>
      </c>
      <c r="E8" s="34"/>
      <c r="F8" s="80" t="s">
        <v>4</v>
      </c>
      <c r="G8" s="81">
        <v>1.01325</v>
      </c>
      <c r="H8" s="82" t="s">
        <v>322</v>
      </c>
      <c r="I8" s="1"/>
    </row>
    <row r="9" spans="1:9" x14ac:dyDescent="0.25">
      <c r="A9" s="1"/>
      <c r="B9" s="35" t="s">
        <v>5</v>
      </c>
      <c r="C9" s="45">
        <v>10</v>
      </c>
      <c r="D9" s="36" t="s">
        <v>323</v>
      </c>
      <c r="E9" s="36"/>
      <c r="F9" s="83" t="s">
        <v>6</v>
      </c>
      <c r="G9" s="84">
        <v>0</v>
      </c>
      <c r="H9" s="85" t="s">
        <v>323</v>
      </c>
      <c r="I9" s="1"/>
    </row>
    <row r="10" spans="1:9" x14ac:dyDescent="0.25">
      <c r="A10" s="1"/>
      <c r="E10" s="1"/>
      <c r="F10" s="3"/>
      <c r="G10" s="3"/>
      <c r="H10" s="3"/>
      <c r="I10" s="5">
        <v>2</v>
      </c>
    </row>
    <row r="11" spans="1:9" x14ac:dyDescent="0.25">
      <c r="A11" s="1"/>
      <c r="E11" s="1"/>
      <c r="F11" s="3"/>
      <c r="G11" s="3"/>
      <c r="H11" s="3"/>
      <c r="I11" s="3"/>
    </row>
    <row r="12" spans="1:9" x14ac:dyDescent="0.25">
      <c r="A12" s="1"/>
      <c r="B12" s="79" t="s">
        <v>319</v>
      </c>
      <c r="C12" s="86" t="str">
        <f>HYPERLINK("C:\Users\manoj\OneDrive - MIMO Metering Services Ltd\MIMO\PDO OMan - Speed of Sound\AGA10 - Composition Amarilo.xlsx","AGA10 - Composition Amarilo.xlsx")</f>
        <v>AGA10 - Composition Amarilo.xlsx</v>
      </c>
      <c r="D12" s="72"/>
      <c r="E12" s="73"/>
      <c r="F12" s="74"/>
      <c r="G12" s="3"/>
      <c r="H12" s="3"/>
      <c r="I12" s="3"/>
    </row>
    <row r="13" spans="1:9" ht="15.75" thickBot="1" x14ac:dyDescent="0.3">
      <c r="A13" s="1"/>
      <c r="F13" s="3"/>
      <c r="G13" s="3"/>
      <c r="H13" s="3"/>
      <c r="I13" s="3"/>
    </row>
    <row r="14" spans="1:9" x14ac:dyDescent="0.25">
      <c r="A14" s="1"/>
      <c r="B14" s="23" t="s">
        <v>7</v>
      </c>
      <c r="C14" s="23" t="s">
        <v>8</v>
      </c>
      <c r="D14" s="69"/>
      <c r="E14" s="41"/>
      <c r="F14" s="20" t="s">
        <v>9</v>
      </c>
      <c r="G14" s="29"/>
      <c r="H14" s="21" t="s">
        <v>10</v>
      </c>
      <c r="I14" s="3"/>
    </row>
    <row r="15" spans="1:9" x14ac:dyDescent="0.25">
      <c r="A15" s="1"/>
      <c r="B15" s="2"/>
      <c r="C15" s="28" t="s">
        <v>11</v>
      </c>
      <c r="D15" s="28"/>
      <c r="E15" s="42"/>
      <c r="F15" s="63"/>
      <c r="G15" s="38"/>
      <c r="H15" s="38"/>
      <c r="I15" s="3"/>
    </row>
    <row r="16" spans="1:9" x14ac:dyDescent="0.25">
      <c r="A16" s="1"/>
      <c r="B16" s="39" t="s">
        <v>12</v>
      </c>
      <c r="C16" s="66">
        <v>90.672399999999996</v>
      </c>
      <c r="D16" s="2"/>
      <c r="E16" s="42"/>
      <c r="F16" s="3" t="s">
        <v>10</v>
      </c>
      <c r="G16" s="87">
        <f>AGA_10(B16:B39,Composition,C8,C9,G8,G9,G6,6)</f>
        <v>400.97253579570838</v>
      </c>
      <c r="H16" s="37" t="s">
        <v>13</v>
      </c>
      <c r="I16" s="3"/>
    </row>
    <row r="17" spans="1:9" x14ac:dyDescent="0.25">
      <c r="A17" s="19"/>
      <c r="B17" s="2" t="s">
        <v>14</v>
      </c>
      <c r="C17" s="67">
        <v>0.46760000000000002</v>
      </c>
      <c r="D17" s="2"/>
      <c r="E17" s="42"/>
      <c r="F17" s="3" t="s">
        <v>320</v>
      </c>
      <c r="G17" s="88">
        <f>AGA_10(B16:B39,Composition,C8,C9,G8,G9,G6,2)</f>
        <v>32.973314849790874</v>
      </c>
      <c r="H17" s="3" t="s">
        <v>54</v>
      </c>
      <c r="I17" s="3"/>
    </row>
    <row r="18" spans="1:9" x14ac:dyDescent="0.25">
      <c r="A18" s="1"/>
      <c r="B18" s="2" t="s">
        <v>17</v>
      </c>
      <c r="C18" s="67">
        <v>3.1284000000000001</v>
      </c>
      <c r="D18" s="2"/>
      <c r="E18" s="42"/>
      <c r="F18" s="3" t="s">
        <v>324</v>
      </c>
      <c r="G18" s="88">
        <f>AGA_10(B16:B39,Composition,C8,C9,G8,G9,G6,4)</f>
        <v>0.78713872707403942</v>
      </c>
      <c r="H18" s="2" t="s">
        <v>16</v>
      </c>
      <c r="I18" s="3"/>
    </row>
    <row r="19" spans="1:9" x14ac:dyDescent="0.25">
      <c r="A19" s="1"/>
      <c r="B19" s="2" t="s">
        <v>18</v>
      </c>
      <c r="C19" s="67">
        <v>4.5278999999999998</v>
      </c>
      <c r="D19" s="2"/>
      <c r="E19" s="42"/>
      <c r="F19" s="2" t="s">
        <v>15</v>
      </c>
      <c r="G19" s="88">
        <f>AGA_10(B16:B39,Composition,C8,C9,G8,G9,G6,7)</f>
        <v>1.3253539365441354</v>
      </c>
      <c r="H19" s="3" t="s">
        <v>54</v>
      </c>
      <c r="I19" s="3"/>
    </row>
    <row r="20" spans="1:9" x14ac:dyDescent="0.25">
      <c r="A20" s="1"/>
      <c r="B20" s="2" t="s">
        <v>19</v>
      </c>
      <c r="C20" s="67">
        <v>0.82799999999999996</v>
      </c>
      <c r="D20" s="2"/>
      <c r="E20" s="43"/>
      <c r="F20" s="2"/>
      <c r="G20" s="28"/>
      <c r="H20" s="2"/>
      <c r="I20" s="3"/>
    </row>
    <row r="21" spans="1:9" x14ac:dyDescent="0.25">
      <c r="A21" s="1"/>
      <c r="B21" s="2" t="s">
        <v>20</v>
      </c>
      <c r="C21" s="67">
        <v>0.1037</v>
      </c>
      <c r="D21" s="2"/>
      <c r="E21" s="43"/>
      <c r="F21" s="2"/>
      <c r="G21" s="28"/>
      <c r="H21" s="2"/>
      <c r="I21" s="3"/>
    </row>
    <row r="22" spans="1:9" x14ac:dyDescent="0.25">
      <c r="A22" s="1"/>
      <c r="B22" s="2" t="s">
        <v>21</v>
      </c>
      <c r="C22" s="67">
        <v>0.15629999999999999</v>
      </c>
      <c r="D22" s="2"/>
      <c r="E22" s="43"/>
      <c r="F22" s="2"/>
      <c r="G22" s="28"/>
      <c r="H22" s="2"/>
      <c r="I22" s="3"/>
    </row>
    <row r="23" spans="1:9" x14ac:dyDescent="0.25">
      <c r="A23" s="1"/>
      <c r="B23" s="2" t="s">
        <v>22</v>
      </c>
      <c r="C23" s="67">
        <v>3.2099999999999997E-2</v>
      </c>
      <c r="D23" s="2"/>
      <c r="E23" s="43"/>
      <c r="F23" s="2"/>
      <c r="G23" s="28"/>
      <c r="H23" s="2"/>
      <c r="I23" s="3"/>
    </row>
    <row r="24" spans="1:9" x14ac:dyDescent="0.25">
      <c r="A24" s="1"/>
      <c r="B24" s="2" t="s">
        <v>23</v>
      </c>
      <c r="C24" s="67">
        <v>4.4299999999999999E-2</v>
      </c>
      <c r="D24" s="2"/>
      <c r="E24" s="43"/>
      <c r="F24" s="61"/>
      <c r="G24" s="28"/>
      <c r="I24" s="3"/>
    </row>
    <row r="25" spans="1:9" x14ac:dyDescent="0.25">
      <c r="A25" s="1"/>
      <c r="B25" s="78" t="s">
        <v>24</v>
      </c>
      <c r="C25" s="67"/>
      <c r="D25" s="2"/>
      <c r="E25" s="40"/>
      <c r="F25" s="44"/>
      <c r="I25" s="3"/>
    </row>
    <row r="26" spans="1:9" x14ac:dyDescent="0.25">
      <c r="A26" s="1"/>
      <c r="B26" s="78" t="s">
        <v>25</v>
      </c>
      <c r="C26" s="67">
        <v>3.9300000000000002E-2</v>
      </c>
      <c r="D26" s="2"/>
      <c r="E26" s="40"/>
      <c r="F26" s="44"/>
      <c r="I26" s="3"/>
    </row>
    <row r="27" spans="1:9" x14ac:dyDescent="0.25">
      <c r="A27" s="1"/>
      <c r="B27" s="78" t="s">
        <v>26</v>
      </c>
      <c r="C27" s="67"/>
      <c r="D27" s="2"/>
      <c r="E27" s="40"/>
      <c r="F27" s="62"/>
      <c r="I27" s="3"/>
    </row>
    <row r="28" spans="1:9" x14ac:dyDescent="0.25">
      <c r="A28" s="1"/>
      <c r="B28" s="78" t="s">
        <v>27</v>
      </c>
      <c r="C28" s="67"/>
      <c r="D28" s="2"/>
      <c r="E28" s="40"/>
      <c r="I28" s="3"/>
    </row>
    <row r="29" spans="1:9" x14ac:dyDescent="0.25">
      <c r="A29" s="1"/>
      <c r="B29" s="78" t="s">
        <v>28</v>
      </c>
      <c r="C29" s="67"/>
      <c r="D29" s="2"/>
      <c r="E29" s="42"/>
      <c r="I29" s="3"/>
    </row>
    <row r="30" spans="1:9" x14ac:dyDescent="0.25">
      <c r="A30" s="1"/>
      <c r="B30" s="2" t="s">
        <v>29</v>
      </c>
      <c r="C30" s="67"/>
      <c r="D30" s="2"/>
      <c r="E30" s="42"/>
      <c r="I30" s="3"/>
    </row>
    <row r="31" spans="1:9" x14ac:dyDescent="0.25">
      <c r="A31" s="1"/>
      <c r="B31" s="2" t="s">
        <v>30</v>
      </c>
      <c r="C31" s="67"/>
      <c r="D31" s="2"/>
      <c r="E31" s="43"/>
    </row>
    <row r="32" spans="1:9" x14ac:dyDescent="0.25">
      <c r="A32" s="3"/>
      <c r="B32" s="2" t="s">
        <v>31</v>
      </c>
      <c r="C32" s="67"/>
      <c r="D32" s="2"/>
      <c r="E32" s="43"/>
    </row>
    <row r="33" spans="1:8" x14ac:dyDescent="0.25">
      <c r="A33" s="3"/>
      <c r="B33" s="2" t="s">
        <v>32</v>
      </c>
      <c r="C33" s="67"/>
      <c r="D33" s="2"/>
      <c r="E33" s="42"/>
    </row>
    <row r="34" spans="1:8" x14ac:dyDescent="0.25">
      <c r="A34" s="3"/>
      <c r="B34" s="2" t="s">
        <v>33</v>
      </c>
      <c r="C34" s="67"/>
      <c r="D34" s="2"/>
      <c r="E34" s="42"/>
    </row>
    <row r="35" spans="1:8" x14ac:dyDescent="0.25">
      <c r="A35" s="3"/>
      <c r="B35" s="2" t="s">
        <v>34</v>
      </c>
      <c r="C35" s="67"/>
      <c r="D35" s="2"/>
      <c r="E35" s="27"/>
    </row>
    <row r="36" spans="1:8" x14ac:dyDescent="0.25">
      <c r="A36" s="3"/>
      <c r="B36" s="2" t="s">
        <v>35</v>
      </c>
      <c r="C36" s="67"/>
      <c r="D36" s="2"/>
      <c r="E36" s="27"/>
    </row>
    <row r="37" spans="1:8" x14ac:dyDescent="0.25">
      <c r="B37" s="2" t="s">
        <v>36</v>
      </c>
      <c r="C37" s="67"/>
      <c r="D37" s="2"/>
      <c r="E37" s="27"/>
    </row>
    <row r="38" spans="1:8" x14ac:dyDescent="0.25">
      <c r="B38" s="2" t="s">
        <v>37</v>
      </c>
      <c r="C38" s="67"/>
      <c r="D38" s="2"/>
      <c r="E38" s="1"/>
    </row>
    <row r="39" spans="1:8" x14ac:dyDescent="0.25">
      <c r="B39" s="2" t="s">
        <v>38</v>
      </c>
      <c r="C39" s="67"/>
      <c r="D39" s="2"/>
      <c r="E39" s="1"/>
    </row>
    <row r="40" spans="1:8" ht="15.75" thickBot="1" x14ac:dyDescent="0.3">
      <c r="B40" s="22" t="s">
        <v>39</v>
      </c>
      <c r="C40" s="68">
        <f>SUM(C16:C39)</f>
        <v>100.00000000000001</v>
      </c>
      <c r="D40" s="2"/>
      <c r="E40" s="1"/>
      <c r="F40" s="60"/>
      <c r="G40" s="60"/>
      <c r="H40" s="60"/>
    </row>
    <row r="41" spans="1:8" x14ac:dyDescent="0.25">
      <c r="E41" s="51"/>
      <c r="F41" s="50"/>
      <c r="G41" s="52"/>
      <c r="H41" s="1"/>
    </row>
    <row r="42" spans="1:8" x14ac:dyDescent="0.25">
      <c r="B42" s="55" t="s">
        <v>40</v>
      </c>
      <c r="E42" s="2"/>
      <c r="F42" s="2"/>
      <c r="G42" s="2"/>
      <c r="H42" s="2"/>
    </row>
    <row r="43" spans="1:8" x14ac:dyDescent="0.25">
      <c r="B43" s="56" t="s">
        <v>41</v>
      </c>
      <c r="C43" s="8"/>
      <c r="D43" s="8"/>
      <c r="E43" s="37"/>
      <c r="F43" s="37"/>
      <c r="G43" s="37"/>
      <c r="H43" s="37"/>
    </row>
    <row r="44" spans="1:8" x14ac:dyDescent="0.25">
      <c r="B44" s="58" t="s">
        <v>42</v>
      </c>
      <c r="E44" s="2"/>
      <c r="F44" s="2"/>
      <c r="G44" s="2"/>
      <c r="H44" s="2"/>
    </row>
    <row r="45" spans="1:8" x14ac:dyDescent="0.25">
      <c r="B45" s="58" t="s">
        <v>43</v>
      </c>
      <c r="E45" s="2"/>
      <c r="F45" s="2"/>
      <c r="G45" s="2"/>
      <c r="H45" s="2"/>
    </row>
    <row r="46" spans="1:8" x14ac:dyDescent="0.25">
      <c r="B46" s="50" t="s">
        <v>317</v>
      </c>
      <c r="C46" s="2"/>
      <c r="D46" s="2"/>
      <c r="E46" s="2"/>
      <c r="F46" s="2"/>
      <c r="G46" s="2"/>
      <c r="H46" s="2"/>
    </row>
    <row r="47" spans="1:8" x14ac:dyDescent="0.25">
      <c r="B47" s="57" t="s">
        <v>316</v>
      </c>
      <c r="C47" s="59"/>
      <c r="D47" s="59"/>
      <c r="E47" s="59"/>
      <c r="F47" s="59"/>
      <c r="G47" s="59"/>
      <c r="H47" s="59"/>
    </row>
    <row r="48" spans="1:8" x14ac:dyDescent="0.25">
      <c r="C48" s="27"/>
      <c r="E48" s="1"/>
      <c r="F48" s="3"/>
    </row>
    <row r="49" spans="5:6" x14ac:dyDescent="0.25">
      <c r="E49" s="1"/>
      <c r="F49" s="3"/>
    </row>
    <row r="50" spans="5:6" x14ac:dyDescent="0.25">
      <c r="E50" s="1"/>
      <c r="F50" s="3"/>
    </row>
    <row r="51" spans="5:6" x14ac:dyDescent="0.25">
      <c r="E51" s="1"/>
      <c r="F51" s="3"/>
    </row>
    <row r="52" spans="5:6" x14ac:dyDescent="0.25">
      <c r="E52" s="1"/>
      <c r="F52" s="3"/>
    </row>
    <row r="53" spans="5:6" x14ac:dyDescent="0.25">
      <c r="E53" s="1"/>
      <c r="F53" s="3"/>
    </row>
    <row r="54" spans="5:6" x14ac:dyDescent="0.25">
      <c r="E54" s="1"/>
      <c r="F54" s="3"/>
    </row>
    <row r="55" spans="5:6" x14ac:dyDescent="0.25">
      <c r="E55" s="1"/>
      <c r="F55" s="3"/>
    </row>
    <row r="56" spans="5:6" x14ac:dyDescent="0.25">
      <c r="E56" s="1"/>
      <c r="F56" s="3"/>
    </row>
    <row r="57" spans="5:6" x14ac:dyDescent="0.25">
      <c r="E57" s="1"/>
      <c r="F57" s="3"/>
    </row>
  </sheetData>
  <sheetProtection algorithmName="SHA-512" hashValue="skiDbbTDdGFlw7/oF66r3qo/f1WjEXUW1gIZLDVBRSyiSfRH8L1A951XGIYC3Wv3rCrQBi0Z4mK01N74c+FT5Q==" saltValue="jSIjgUcPJJVd5Y9O13vhJg==" spinCount="100000" sheet="1" objects="1" scenarios="1"/>
  <dataValidations count="2">
    <dataValidation type="list" allowBlank="1" showInputMessage="1" showErrorMessage="1" sqref="G6" xr:uid="{CB3D4596-0956-4031-84E8-C85A0619FF79}">
      <formula1>"SI,US"</formula1>
    </dataValidation>
    <dataValidation type="list" allowBlank="1" showInputMessage="1" showErrorMessage="1" sqref="G9" xr:uid="{32A0AA31-37E7-42F6-B35B-D515EC66B244}">
      <formula1>"0,15,20"</formula1>
    </dataValidation>
  </dataValidations>
  <pageMargins left="0.23622047244094491" right="0.23622047244094491" top="0.74803149606299213" bottom="0.74803149606299213" header="0.31496062992125984" footer="0.31496062992125984"/>
  <pageSetup paperSize="9" scale="87" orientation="portrait" r:id="rId1"/>
  <drawing r:id="rId2"/>
  <legacyDrawing r:id="rId3"/>
  <controls>
    <mc:AlternateContent xmlns:mc="http://schemas.openxmlformats.org/markup-compatibility/2006">
      <mc:Choice Requires="x14">
        <control shapeId="1112" r:id="rId4" name="CommandButton1">
          <controlPr defaultSize="0" autoLine="0" r:id="rId5">
            <anchor moveWithCells="1">
              <from>
                <xdr:col>1</xdr:col>
                <xdr:colOff>0</xdr:colOff>
                <xdr:row>9</xdr:row>
                <xdr:rowOff>38100</xdr:rowOff>
              </from>
              <to>
                <xdr:col>8</xdr:col>
                <xdr:colOff>0</xdr:colOff>
                <xdr:row>10</xdr:row>
                <xdr:rowOff>133350</xdr:rowOff>
              </to>
            </anchor>
          </controlPr>
        </control>
      </mc:Choice>
      <mc:Fallback>
        <control shapeId="1112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32"/>
  <sheetViews>
    <sheetView showGridLines="0" workbookViewId="0">
      <selection activeCell="A27" sqref="A27"/>
    </sheetView>
  </sheetViews>
  <sheetFormatPr defaultRowHeight="15" x14ac:dyDescent="0.25"/>
  <cols>
    <col min="3" max="3" width="31.28515625" style="44" customWidth="1"/>
    <col min="5" max="5" width="3.42578125" customWidth="1"/>
    <col min="7" max="7" width="18.140625" customWidth="1"/>
    <col min="8" max="8" width="8.140625" customWidth="1"/>
    <col min="9" max="9" width="3.42578125" customWidth="1"/>
    <col min="11" max="11" width="27.7109375" customWidth="1"/>
    <col min="13" max="13" width="4.140625" customWidth="1"/>
    <col min="15" max="15" width="29.42578125" customWidth="1"/>
  </cols>
  <sheetData>
    <row r="1" spans="1:4" x14ac:dyDescent="0.25">
      <c r="A1" s="48" t="s">
        <v>44</v>
      </c>
      <c r="B1" s="48"/>
      <c r="C1" s="48"/>
      <c r="D1" s="48"/>
    </row>
    <row r="2" spans="1:4" x14ac:dyDescent="0.25">
      <c r="A2" s="15" t="s">
        <v>45</v>
      </c>
      <c r="B2" s="15" t="s">
        <v>46</v>
      </c>
      <c r="C2" s="46" t="s">
        <v>47</v>
      </c>
      <c r="D2" s="15" t="s">
        <v>48</v>
      </c>
    </row>
    <row r="3" spans="1:4" x14ac:dyDescent="0.25">
      <c r="A3" s="1">
        <v>1</v>
      </c>
      <c r="B3" s="1" t="str">
        <f>$A$1</f>
        <v>ISO6976</v>
      </c>
      <c r="C3" s="2" t="s">
        <v>49</v>
      </c>
      <c r="D3" s="1" t="s">
        <v>50</v>
      </c>
    </row>
    <row r="4" spans="1:4" x14ac:dyDescent="0.25">
      <c r="A4" s="1">
        <f>A3+1</f>
        <v>2</v>
      </c>
      <c r="B4" s="1" t="str">
        <f t="shared" ref="B4:B9" si="0">$A$1</f>
        <v>ISO6976</v>
      </c>
      <c r="C4" s="2" t="s">
        <v>51</v>
      </c>
      <c r="D4" s="1" t="s">
        <v>16</v>
      </c>
    </row>
    <row r="5" spans="1:4" x14ac:dyDescent="0.25">
      <c r="A5" s="1">
        <f t="shared" ref="A5:A6" si="1">A4+1</f>
        <v>3</v>
      </c>
      <c r="B5" s="1" t="str">
        <f t="shared" si="0"/>
        <v>ISO6976</v>
      </c>
      <c r="C5" s="2" t="s">
        <v>52</v>
      </c>
      <c r="D5" s="1" t="s">
        <v>16</v>
      </c>
    </row>
    <row r="6" spans="1:4" x14ac:dyDescent="0.25">
      <c r="A6" s="1">
        <f t="shared" si="1"/>
        <v>4</v>
      </c>
      <c r="B6" s="1" t="str">
        <f t="shared" si="0"/>
        <v>ISO6976</v>
      </c>
      <c r="C6" s="2" t="s">
        <v>53</v>
      </c>
      <c r="D6" s="1" t="s">
        <v>54</v>
      </c>
    </row>
    <row r="7" spans="1:4" x14ac:dyDescent="0.25">
      <c r="A7" s="1">
        <v>5</v>
      </c>
      <c r="B7" s="1" t="str">
        <f t="shared" si="0"/>
        <v>ISO6976</v>
      </c>
      <c r="C7" s="2" t="s">
        <v>55</v>
      </c>
      <c r="D7" s="1" t="s">
        <v>56</v>
      </c>
    </row>
    <row r="8" spans="1:4" x14ac:dyDescent="0.25">
      <c r="A8" s="1">
        <v>6</v>
      </c>
      <c r="B8" s="1" t="str">
        <f t="shared" si="0"/>
        <v>ISO6976</v>
      </c>
      <c r="C8" s="2" t="s">
        <v>57</v>
      </c>
      <c r="D8" s="1" t="s">
        <v>58</v>
      </c>
    </row>
    <row r="9" spans="1:4" x14ac:dyDescent="0.25">
      <c r="A9" s="1">
        <v>7</v>
      </c>
      <c r="B9" s="1" t="str">
        <f t="shared" si="0"/>
        <v>ISO6976</v>
      </c>
      <c r="C9" s="2" t="s">
        <v>59</v>
      </c>
      <c r="D9" s="1" t="s">
        <v>56</v>
      </c>
    </row>
    <row r="10" spans="1:4" x14ac:dyDescent="0.25">
      <c r="A10" s="49" t="s">
        <v>60</v>
      </c>
      <c r="B10" s="49"/>
      <c r="C10" s="49"/>
      <c r="D10" s="49"/>
    </row>
    <row r="11" spans="1:4" x14ac:dyDescent="0.25">
      <c r="A11" s="16" t="s">
        <v>45</v>
      </c>
      <c r="B11" s="16"/>
      <c r="C11" s="47" t="s">
        <v>47</v>
      </c>
      <c r="D11" s="16" t="s">
        <v>48</v>
      </c>
    </row>
    <row r="12" spans="1:4" ht="15.75" x14ac:dyDescent="0.25">
      <c r="A12" s="1">
        <v>1</v>
      </c>
      <c r="B12" s="1" t="str">
        <f>$A$10</f>
        <v>AGA8</v>
      </c>
      <c r="C12" s="2" t="s">
        <v>61</v>
      </c>
      <c r="D12" s="1" t="s">
        <v>62</v>
      </c>
    </row>
    <row r="13" spans="1:4" x14ac:dyDescent="0.25">
      <c r="A13" s="1">
        <f>A12+1</f>
        <v>2</v>
      </c>
      <c r="B13" s="1" t="str">
        <f t="shared" ref="B13:B14" si="2">$A$10</f>
        <v>AGA8</v>
      </c>
      <c r="C13" s="2" t="s">
        <v>63</v>
      </c>
      <c r="D13" s="1" t="s">
        <v>64</v>
      </c>
    </row>
    <row r="14" spans="1:4" x14ac:dyDescent="0.25">
      <c r="A14" s="1">
        <f>A13+1</f>
        <v>3</v>
      </c>
      <c r="B14" s="1" t="str">
        <f t="shared" si="2"/>
        <v>AGA8</v>
      </c>
      <c r="C14" s="2" t="s">
        <v>49</v>
      </c>
      <c r="D14" s="1" t="s">
        <v>50</v>
      </c>
    </row>
    <row r="15" spans="1:4" x14ac:dyDescent="0.25">
      <c r="A15" s="49" t="s">
        <v>65</v>
      </c>
      <c r="B15" s="49"/>
      <c r="C15" s="49"/>
      <c r="D15" s="49"/>
    </row>
    <row r="16" spans="1:4" x14ac:dyDescent="0.25">
      <c r="A16" s="16" t="s">
        <v>45</v>
      </c>
      <c r="B16" s="16"/>
      <c r="C16" s="47" t="s">
        <v>47</v>
      </c>
      <c r="D16" s="16" t="s">
        <v>48</v>
      </c>
    </row>
    <row r="17" spans="1:4" x14ac:dyDescent="0.25">
      <c r="A17" s="1">
        <v>1</v>
      </c>
      <c r="B17" s="1" t="str">
        <f>$A$15</f>
        <v>AGA10</v>
      </c>
      <c r="C17" s="2" t="s">
        <v>66</v>
      </c>
      <c r="D17" s="1" t="s">
        <v>13</v>
      </c>
    </row>
    <row r="18" spans="1:4" x14ac:dyDescent="0.25">
      <c r="A18" s="1">
        <f>A17+1</f>
        <v>2</v>
      </c>
      <c r="B18" s="1" t="str">
        <f>$A$15</f>
        <v>AGA10</v>
      </c>
      <c r="C18" s="2" t="s">
        <v>67</v>
      </c>
      <c r="D18" s="1" t="s">
        <v>16</v>
      </c>
    </row>
    <row r="19" spans="1:4" x14ac:dyDescent="0.25">
      <c r="A19" s="49" t="s">
        <v>68</v>
      </c>
      <c r="B19" s="49"/>
      <c r="C19" s="49"/>
      <c r="D19" s="49"/>
    </row>
    <row r="20" spans="1:4" x14ac:dyDescent="0.25">
      <c r="A20" s="16" t="s">
        <v>45</v>
      </c>
      <c r="B20" s="16"/>
      <c r="C20" s="47" t="s">
        <v>47</v>
      </c>
      <c r="D20" s="16" t="s">
        <v>48</v>
      </c>
    </row>
    <row r="21" spans="1:4" x14ac:dyDescent="0.25">
      <c r="A21" s="1">
        <v>1</v>
      </c>
      <c r="B21" s="1" t="str">
        <f>$A$19</f>
        <v>API 14.5</v>
      </c>
      <c r="C21" s="2" t="s">
        <v>69</v>
      </c>
      <c r="D21" s="1" t="s">
        <v>70</v>
      </c>
    </row>
    <row r="22" spans="1:4" x14ac:dyDescent="0.25">
      <c r="A22" s="1">
        <f>A21+1</f>
        <v>2</v>
      </c>
      <c r="B22" s="1" t="str">
        <f t="shared" ref="B22:B25" si="3">$A$19</f>
        <v>API 14.5</v>
      </c>
      <c r="C22" s="2" t="s">
        <v>71</v>
      </c>
      <c r="D22" s="1" t="s">
        <v>16</v>
      </c>
    </row>
    <row r="23" spans="1:4" x14ac:dyDescent="0.25">
      <c r="A23" s="1">
        <f t="shared" ref="A23:A25" si="4">A22+1</f>
        <v>3</v>
      </c>
      <c r="B23" s="1" t="str">
        <f t="shared" si="3"/>
        <v>API 14.5</v>
      </c>
      <c r="C23" s="2" t="s">
        <v>72</v>
      </c>
      <c r="D23" s="1" t="s">
        <v>16</v>
      </c>
    </row>
    <row r="24" spans="1:4" x14ac:dyDescent="0.25">
      <c r="A24" s="1">
        <f t="shared" si="4"/>
        <v>4</v>
      </c>
      <c r="B24" s="1" t="str">
        <f t="shared" si="3"/>
        <v>API 14.5</v>
      </c>
      <c r="C24" s="2" t="s">
        <v>73</v>
      </c>
      <c r="D24" s="1" t="s">
        <v>16</v>
      </c>
    </row>
    <row r="25" spans="1:4" ht="15.75" x14ac:dyDescent="0.25">
      <c r="A25" s="1">
        <f t="shared" si="4"/>
        <v>5</v>
      </c>
      <c r="B25" s="1" t="str">
        <f t="shared" si="3"/>
        <v>API 14.5</v>
      </c>
      <c r="C25" s="2" t="s">
        <v>74</v>
      </c>
      <c r="D25" s="1" t="s">
        <v>75</v>
      </c>
    </row>
    <row r="26" spans="1:4" x14ac:dyDescent="0.25">
      <c r="A26" s="49" t="s">
        <v>76</v>
      </c>
      <c r="B26" s="49"/>
      <c r="C26" s="49"/>
      <c r="D26" s="49"/>
    </row>
    <row r="27" spans="1:4" x14ac:dyDescent="0.25">
      <c r="A27" s="16" t="s">
        <v>45</v>
      </c>
      <c r="B27" s="16"/>
      <c r="C27" s="47" t="s">
        <v>47</v>
      </c>
      <c r="D27" s="16" t="s">
        <v>48</v>
      </c>
    </row>
    <row r="28" spans="1:4" ht="15.75" x14ac:dyDescent="0.25">
      <c r="A28" s="1">
        <v>1</v>
      </c>
      <c r="B28" s="1" t="str">
        <f t="shared" ref="B28:B32" si="5">$A$26</f>
        <v>LNG/LPG</v>
      </c>
      <c r="C28" s="2" t="s">
        <v>77</v>
      </c>
      <c r="D28" s="1" t="s">
        <v>62</v>
      </c>
    </row>
    <row r="29" spans="1:4" x14ac:dyDescent="0.25">
      <c r="A29" s="1">
        <f>A28+1</f>
        <v>2</v>
      </c>
      <c r="B29" s="1" t="str">
        <f t="shared" si="5"/>
        <v>LNG/LPG</v>
      </c>
      <c r="C29" s="2" t="s">
        <v>49</v>
      </c>
      <c r="D29" s="1" t="s">
        <v>50</v>
      </c>
    </row>
    <row r="30" spans="1:4" x14ac:dyDescent="0.25">
      <c r="A30" s="1">
        <f t="shared" ref="A30:A32" si="6">A29+1</f>
        <v>3</v>
      </c>
      <c r="B30" s="1" t="str">
        <f t="shared" si="5"/>
        <v>LNG/LPG</v>
      </c>
      <c r="C30" s="2" t="s">
        <v>78</v>
      </c>
      <c r="D30" s="1" t="s">
        <v>79</v>
      </c>
    </row>
    <row r="31" spans="1:4" x14ac:dyDescent="0.25">
      <c r="A31" s="1">
        <f t="shared" si="6"/>
        <v>4</v>
      </c>
      <c r="B31" s="1" t="str">
        <f t="shared" si="5"/>
        <v>LNG/LPG</v>
      </c>
      <c r="C31" s="2" t="s">
        <v>78</v>
      </c>
      <c r="D31" s="1" t="s">
        <v>58</v>
      </c>
    </row>
    <row r="32" spans="1:4" ht="15.75" x14ac:dyDescent="0.25">
      <c r="A32" s="1">
        <f t="shared" si="6"/>
        <v>5</v>
      </c>
      <c r="B32" s="1" t="str">
        <f t="shared" si="5"/>
        <v>LNG/LPG</v>
      </c>
      <c r="C32" s="2" t="s">
        <v>78</v>
      </c>
      <c r="D32" s="1" t="s">
        <v>80</v>
      </c>
    </row>
  </sheetData>
  <sheetProtection algorithmName="SHA-512" hashValue="Sl6LOpRO2eqH9zEApTan/0kCmMqRVlaRK4ghH6u6NRSzzhvfOJN+y0YiT+RhOCGYx/iK+IIzJAfrs24mJAQUqg==" saltValue="+vd3F65khz9H2FnyRtyXPw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C8D03-AD45-467D-AEC2-31492B02FCF0}">
  <sheetPr codeName="List2"/>
  <dimension ref="A1:AR64"/>
  <sheetViews>
    <sheetView showGridLines="0" workbookViewId="0">
      <selection activeCell="F20" sqref="F20"/>
    </sheetView>
  </sheetViews>
  <sheetFormatPr defaultRowHeight="15" x14ac:dyDescent="0.25"/>
  <cols>
    <col min="2" max="2" width="27.42578125" customWidth="1"/>
    <col min="3" max="3" width="13.7109375" customWidth="1"/>
    <col min="4" max="4" width="19.7109375" customWidth="1"/>
    <col min="5" max="10" width="12" customWidth="1"/>
    <col min="11" max="37" width="9.140625" customWidth="1"/>
    <col min="38" max="38" width="11.42578125" customWidth="1"/>
  </cols>
  <sheetData>
    <row r="1" spans="1:44" x14ac:dyDescent="0.25">
      <c r="A1" s="24" t="s">
        <v>81</v>
      </c>
      <c r="B1" s="24" t="s">
        <v>82</v>
      </c>
      <c r="C1" s="24" t="s">
        <v>83</v>
      </c>
      <c r="D1" s="24" t="s">
        <v>84</v>
      </c>
      <c r="E1" s="24" t="s">
        <v>85</v>
      </c>
      <c r="F1" s="24" t="s">
        <v>86</v>
      </c>
      <c r="G1" s="24" t="s">
        <v>87</v>
      </c>
      <c r="H1" s="24" t="s">
        <v>88</v>
      </c>
      <c r="I1" s="24" t="s">
        <v>89</v>
      </c>
      <c r="J1" s="24" t="s">
        <v>90</v>
      </c>
      <c r="K1" s="24" t="s">
        <v>91</v>
      </c>
      <c r="L1" s="24" t="s">
        <v>92</v>
      </c>
      <c r="M1" s="24" t="s">
        <v>93</v>
      </c>
      <c r="N1" s="24" t="s">
        <v>94</v>
      </c>
      <c r="O1" s="24" t="s">
        <v>95</v>
      </c>
      <c r="P1" s="24" t="s">
        <v>96</v>
      </c>
      <c r="Q1" s="24" t="s">
        <v>97</v>
      </c>
      <c r="R1" s="24" t="s">
        <v>98</v>
      </c>
      <c r="S1" s="24" t="s">
        <v>99</v>
      </c>
      <c r="T1" s="24" t="s">
        <v>100</v>
      </c>
      <c r="U1" s="24" t="s">
        <v>101</v>
      </c>
      <c r="V1" s="24" t="s">
        <v>102</v>
      </c>
      <c r="W1" s="24" t="s">
        <v>103</v>
      </c>
      <c r="X1" s="24" t="s">
        <v>104</v>
      </c>
      <c r="Y1" s="24" t="s">
        <v>105</v>
      </c>
      <c r="Z1" s="24" t="s">
        <v>106</v>
      </c>
      <c r="AA1" s="24" t="s">
        <v>107</v>
      </c>
      <c r="AB1" s="24" t="s">
        <v>108</v>
      </c>
      <c r="AC1" s="24" t="s">
        <v>109</v>
      </c>
      <c r="AD1" s="24" t="s">
        <v>110</v>
      </c>
      <c r="AE1" s="24" t="s">
        <v>111</v>
      </c>
      <c r="AF1" s="24" t="s">
        <v>112</v>
      </c>
      <c r="AG1" s="24" t="s">
        <v>113</v>
      </c>
      <c r="AH1" s="24" t="s">
        <v>114</v>
      </c>
      <c r="AI1" s="24" t="s">
        <v>115</v>
      </c>
      <c r="AJ1" s="24" t="s">
        <v>116</v>
      </c>
      <c r="AK1" s="24" t="s">
        <v>117</v>
      </c>
      <c r="AL1" s="24" t="s">
        <v>118</v>
      </c>
      <c r="AM1" s="24" t="s">
        <v>119</v>
      </c>
      <c r="AN1" s="24" t="s">
        <v>120</v>
      </c>
      <c r="AO1" s="24" t="s">
        <v>121</v>
      </c>
      <c r="AP1" s="24" t="s">
        <v>122</v>
      </c>
      <c r="AQ1" s="24" t="s">
        <v>123</v>
      </c>
      <c r="AR1" s="24" t="s">
        <v>124</v>
      </c>
    </row>
    <row r="2" spans="1:44" x14ac:dyDescent="0.25">
      <c r="A2" s="25">
        <v>1</v>
      </c>
      <c r="B2" s="25" t="s">
        <v>125</v>
      </c>
      <c r="C2" s="75" t="s">
        <v>126</v>
      </c>
      <c r="D2" s="75" t="s">
        <v>12</v>
      </c>
      <c r="E2" s="75" t="s">
        <v>127</v>
      </c>
      <c r="F2" s="75" t="s">
        <v>16</v>
      </c>
      <c r="G2" s="75" t="s">
        <v>16</v>
      </c>
      <c r="H2" s="75" t="s">
        <v>16</v>
      </c>
      <c r="I2" s="75" t="s">
        <v>16</v>
      </c>
      <c r="J2" s="75" t="s">
        <v>16</v>
      </c>
      <c r="K2" s="25">
        <v>16.042999999999999</v>
      </c>
      <c r="L2" s="25">
        <v>4.9000000000000002E-2</v>
      </c>
      <c r="M2" s="25">
        <v>4.4699999999999997E-2</v>
      </c>
      <c r="N2" s="25">
        <v>4.36E-2</v>
      </c>
      <c r="O2" s="25">
        <v>892.97</v>
      </c>
      <c r="P2" s="25">
        <v>891.56</v>
      </c>
      <c r="Q2" s="25">
        <v>891.09</v>
      </c>
      <c r="R2" s="25">
        <v>890.63</v>
      </c>
      <c r="S2" s="25">
        <v>802.82</v>
      </c>
      <c r="T2" s="25">
        <v>802.69</v>
      </c>
      <c r="U2" s="25">
        <v>802.65</v>
      </c>
      <c r="V2" s="25">
        <v>802.6</v>
      </c>
      <c r="W2" s="25">
        <v>0</v>
      </c>
      <c r="X2" s="25">
        <v>0</v>
      </c>
      <c r="Y2" s="25">
        <v>0</v>
      </c>
      <c r="Z2" s="25">
        <v>0</v>
      </c>
      <c r="AA2" s="25">
        <v>0</v>
      </c>
      <c r="AB2" s="25">
        <v>0</v>
      </c>
      <c r="AC2" s="25">
        <v>0</v>
      </c>
      <c r="AD2" s="25">
        <v>3.5770999999999997E-2</v>
      </c>
      <c r="AE2" s="25">
        <v>3.6315E-2</v>
      </c>
      <c r="AF2" s="25">
        <v>3.6891E-2</v>
      </c>
      <c r="AG2" s="25">
        <v>3.7499999999999999E-2</v>
      </c>
      <c r="AH2" s="25">
        <v>3.8149000000000002E-2</v>
      </c>
      <c r="AI2" s="25">
        <v>3.8838999999999999E-2</v>
      </c>
      <c r="AJ2" s="25">
        <v>3.9579999999999997E-2</v>
      </c>
      <c r="AK2" s="25">
        <v>4.0375000000000001E-2</v>
      </c>
      <c r="AL2" s="25">
        <v>4.1237000000000003E-2</v>
      </c>
      <c r="AM2" s="25">
        <v>1010</v>
      </c>
      <c r="AN2" s="25">
        <v>1.1599999999999999E-2</v>
      </c>
      <c r="AO2" s="25">
        <v>37.707000000000001</v>
      </c>
      <c r="AP2" s="25">
        <v>4.4200000000000003E-3</v>
      </c>
      <c r="AQ2" s="25" t="e" cm="1">
        <f t="array" aca="1" ref="AQ2" ca="1">VBAProject.LinearInt.lin_int(CONVERT(60,"F","C"),15,20,M2,N2)</f>
        <v>#NAME?</v>
      </c>
      <c r="AR2" s="25" t="e" cm="1">
        <f t="array" aca="1" ref="AR2" ca="1">VBAProject.LinearInt.lin_int(CONVERT(60,"F","C"),15,20,P2,Q2)</f>
        <v>#NAME?</v>
      </c>
    </row>
    <row r="3" spans="1:44" x14ac:dyDescent="0.25">
      <c r="A3" s="25">
        <f t="shared" ref="A3:A28" si="0">A2+1</f>
        <v>2</v>
      </c>
      <c r="B3" s="25" t="s">
        <v>128</v>
      </c>
      <c r="C3" s="75" t="s">
        <v>129</v>
      </c>
      <c r="D3" s="75" t="s">
        <v>18</v>
      </c>
      <c r="E3" s="75" t="s">
        <v>130</v>
      </c>
      <c r="F3" s="75" t="s">
        <v>16</v>
      </c>
      <c r="G3" s="75" t="s">
        <v>16</v>
      </c>
      <c r="H3" s="75" t="s">
        <v>16</v>
      </c>
      <c r="I3" s="75" t="s">
        <v>16</v>
      </c>
      <c r="J3" s="75" t="s">
        <v>16</v>
      </c>
      <c r="K3" s="25">
        <v>30.07</v>
      </c>
      <c r="L3" s="25">
        <v>0.1</v>
      </c>
      <c r="M3" s="25">
        <v>9.2200000000000004E-2</v>
      </c>
      <c r="N3" s="25">
        <v>8.9399999999999993E-2</v>
      </c>
      <c r="O3" s="25">
        <v>1564.34</v>
      </c>
      <c r="P3" s="25">
        <v>1562.14</v>
      </c>
      <c r="Q3" s="25">
        <v>1561.41</v>
      </c>
      <c r="R3" s="25">
        <v>1560.69</v>
      </c>
      <c r="S3" s="25">
        <v>1429.12</v>
      </c>
      <c r="T3" s="25">
        <v>1428.84</v>
      </c>
      <c r="U3" s="25">
        <v>1428.74</v>
      </c>
      <c r="V3" s="25">
        <v>1428.64</v>
      </c>
      <c r="W3" s="25">
        <v>499</v>
      </c>
      <c r="X3" s="25">
        <v>0.99</v>
      </c>
      <c r="Y3" s="25">
        <v>6000</v>
      </c>
      <c r="Z3" s="25">
        <v>66</v>
      </c>
      <c r="AA3" s="25">
        <v>8.3991999999999997E-2</v>
      </c>
      <c r="AB3" s="25">
        <v>8.8464000000000001E-2</v>
      </c>
      <c r="AC3" s="25">
        <v>8.4451999999999999E-2</v>
      </c>
      <c r="AD3" s="25">
        <v>4.6323999999999997E-2</v>
      </c>
      <c r="AE3" s="25">
        <v>4.6716000000000001E-2</v>
      </c>
      <c r="AF3" s="25">
        <v>4.7115999999999998E-2</v>
      </c>
      <c r="AG3" s="25">
        <v>4.7523999999999997E-2</v>
      </c>
      <c r="AH3" s="25">
        <v>4.7941999999999999E-2</v>
      </c>
      <c r="AI3" s="25">
        <v>4.8369000000000002E-2</v>
      </c>
      <c r="AJ3" s="25">
        <v>4.8806000000000002E-2</v>
      </c>
      <c r="AK3" s="25">
        <v>4.9252999999999998E-2</v>
      </c>
      <c r="AL3" s="25">
        <v>4.9710999999999998E-2</v>
      </c>
      <c r="AM3" s="25">
        <v>1769.7</v>
      </c>
      <c r="AN3" s="25">
        <v>2.3800000000000002E-2</v>
      </c>
      <c r="AO3" s="25">
        <v>66.066999999999993</v>
      </c>
      <c r="AP3" s="25">
        <v>9.1000000000000004E-3</v>
      </c>
      <c r="AQ3" s="25" t="e" cm="1">
        <f t="array" aca="1" ref="AQ3" ca="1">VBAProject.LinearInt.lin_int(CONVERT(60,"F","C"),15,20,M3,N3)</f>
        <v>#NAME?</v>
      </c>
      <c r="AR3" s="25" t="e" cm="1">
        <f t="array" aca="1" ref="AR3" ca="1">VBAProject.LinearInt.lin_int(CONVERT(60,"F","C"),15,20,P3,Q3)</f>
        <v>#NAME?</v>
      </c>
    </row>
    <row r="4" spans="1:44" x14ac:dyDescent="0.25">
      <c r="A4" s="25">
        <f t="shared" si="0"/>
        <v>3</v>
      </c>
      <c r="B4" s="25" t="s">
        <v>131</v>
      </c>
      <c r="C4" s="75" t="s">
        <v>132</v>
      </c>
      <c r="D4" s="75" t="s">
        <v>19</v>
      </c>
      <c r="E4" s="75" t="s">
        <v>133</v>
      </c>
      <c r="F4" s="75" t="s">
        <v>16</v>
      </c>
      <c r="G4" s="75" t="s">
        <v>16</v>
      </c>
      <c r="H4" s="75" t="s">
        <v>16</v>
      </c>
      <c r="I4" s="75" t="s">
        <v>16</v>
      </c>
      <c r="J4" s="75" t="s">
        <v>16</v>
      </c>
      <c r="K4" s="25">
        <v>44.097000000000001</v>
      </c>
      <c r="L4" s="25">
        <v>0.14530000000000001</v>
      </c>
      <c r="M4" s="25">
        <v>0.1338</v>
      </c>
      <c r="N4" s="25">
        <v>0.1288</v>
      </c>
      <c r="O4" s="25">
        <v>2224.0100000000002</v>
      </c>
      <c r="P4" s="25">
        <v>2221.1</v>
      </c>
      <c r="Q4" s="25">
        <v>2220.13</v>
      </c>
      <c r="R4" s="25">
        <v>2219.17</v>
      </c>
      <c r="S4" s="25">
        <v>2043.71</v>
      </c>
      <c r="T4" s="25">
        <v>2043.37</v>
      </c>
      <c r="U4" s="25">
        <v>2043.23</v>
      </c>
      <c r="V4" s="25">
        <v>2043.11</v>
      </c>
      <c r="W4" s="25">
        <v>575</v>
      </c>
      <c r="X4" s="25">
        <v>0.97</v>
      </c>
      <c r="Y4" s="25">
        <v>6000</v>
      </c>
      <c r="Z4" s="25">
        <v>129</v>
      </c>
      <c r="AA4" s="25">
        <v>8.6872000000000005E-2</v>
      </c>
      <c r="AB4" s="25">
        <v>8.8104000000000002E-2</v>
      </c>
      <c r="AC4" s="25">
        <v>8.6940000000000003E-2</v>
      </c>
      <c r="AD4" s="25">
        <v>6.0731E-2</v>
      </c>
      <c r="AE4" s="25">
        <v>6.1164000000000003E-2</v>
      </c>
      <c r="AF4" s="25">
        <v>6.1601999999999997E-2</v>
      </c>
      <c r="AG4" s="25">
        <v>6.2045999999999997E-2</v>
      </c>
      <c r="AH4" s="25">
        <v>6.2496999999999997E-2</v>
      </c>
      <c r="AI4" s="25">
        <v>6.2952999999999995E-2</v>
      </c>
      <c r="AJ4" s="25">
        <v>6.3417000000000001E-2</v>
      </c>
      <c r="AK4" s="25">
        <v>6.3886999999999999E-2</v>
      </c>
      <c r="AL4" s="25">
        <v>6.4364000000000005E-2</v>
      </c>
      <c r="AM4" s="25">
        <v>2516.1999999999998</v>
      </c>
      <c r="AN4" s="25">
        <v>3.49E-2</v>
      </c>
      <c r="AO4" s="25">
        <v>93.936000000000007</v>
      </c>
      <c r="AP4" s="25">
        <v>1.3299999999999999E-2</v>
      </c>
      <c r="AQ4" s="25" t="e" cm="1">
        <f t="array" aca="1" ref="AQ4" ca="1">VBAProject.LinearInt.lin_int(CONVERT(60,"F","C"),15,20,M4,N4)</f>
        <v>#NAME?</v>
      </c>
      <c r="AR4" s="25" t="e" cm="1">
        <f t="array" aca="1" ref="AR4" ca="1">VBAProject.LinearInt.lin_int(CONVERT(60,"F","C"),15,20,P4,Q4)</f>
        <v>#NAME?</v>
      </c>
    </row>
    <row r="5" spans="1:44" x14ac:dyDescent="0.25">
      <c r="A5" s="25">
        <f t="shared" si="0"/>
        <v>4</v>
      </c>
      <c r="B5" s="25" t="s">
        <v>134</v>
      </c>
      <c r="C5" s="75" t="s">
        <v>135</v>
      </c>
      <c r="D5" s="75" t="s">
        <v>21</v>
      </c>
      <c r="E5" s="75" t="s">
        <v>136</v>
      </c>
      <c r="F5" s="75" t="s">
        <v>137</v>
      </c>
      <c r="G5" s="75" t="s">
        <v>138</v>
      </c>
      <c r="H5" s="75" t="s">
        <v>16</v>
      </c>
      <c r="I5" s="75" t="s">
        <v>16</v>
      </c>
      <c r="J5" s="75" t="s">
        <v>16</v>
      </c>
      <c r="K5" s="25">
        <v>58.122999999999998</v>
      </c>
      <c r="L5" s="25">
        <v>0.2069</v>
      </c>
      <c r="M5" s="25">
        <v>0.18709999999999999</v>
      </c>
      <c r="N5" s="25">
        <v>0.17829999999999999</v>
      </c>
      <c r="O5" s="25">
        <v>2883.82</v>
      </c>
      <c r="P5" s="25">
        <v>2879.76</v>
      </c>
      <c r="Q5" s="25">
        <v>2878.57</v>
      </c>
      <c r="R5" s="25">
        <v>2877.4</v>
      </c>
      <c r="S5" s="25">
        <v>2658.45</v>
      </c>
      <c r="T5" s="25">
        <v>2657.6</v>
      </c>
      <c r="U5" s="25">
        <v>2657.45</v>
      </c>
      <c r="V5" s="25">
        <v>2657.32</v>
      </c>
      <c r="W5" s="25">
        <v>637.6</v>
      </c>
      <c r="X5" s="25">
        <v>0.87</v>
      </c>
      <c r="Y5" s="25">
        <v>7000</v>
      </c>
      <c r="Z5" s="25">
        <v>186</v>
      </c>
      <c r="AA5" s="25">
        <v>9.9406999999999995E-2</v>
      </c>
      <c r="AB5" s="25">
        <v>0.10042</v>
      </c>
      <c r="AC5" s="25">
        <v>9.9555000000000005E-2</v>
      </c>
      <c r="AD5" s="25">
        <v>7.4996999999999994E-2</v>
      </c>
      <c r="AE5" s="25">
        <v>7.5458999999999998E-2</v>
      </c>
      <c r="AF5" s="25">
        <v>7.5925999999999993E-2</v>
      </c>
      <c r="AG5" s="25">
        <v>7.6397999999999994E-2</v>
      </c>
      <c r="AH5" s="25">
        <v>7.6856999999999995E-2</v>
      </c>
      <c r="AI5" s="25">
        <v>7.7358999999999997E-2</v>
      </c>
      <c r="AJ5" s="25">
        <v>7.7847E-2</v>
      </c>
      <c r="AK5" s="25">
        <v>7.8341999999999995E-2</v>
      </c>
      <c r="AL5" s="25">
        <v>7.8842999999999996E-2</v>
      </c>
      <c r="AM5" s="25">
        <v>3262.3</v>
      </c>
      <c r="AN5" s="25">
        <v>4.7100000000000003E-2</v>
      </c>
      <c r="AO5" s="25">
        <v>121.79</v>
      </c>
      <c r="AP5" s="25">
        <v>1.7999999999999999E-2</v>
      </c>
      <c r="AQ5" s="25" t="e" cm="1">
        <f t="array" aca="1" ref="AQ5" ca="1">VBAProject.LinearInt.lin_int(CONVERT(60,"F","C"),15,20,M5,N5)</f>
        <v>#NAME?</v>
      </c>
      <c r="AR5" s="25" t="e" cm="1">
        <f t="array" aca="1" ref="AR5" ca="1">VBAProject.LinearInt.lin_int(CONVERT(60,"F","C"),15,20,P5,Q5)</f>
        <v>#NAME?</v>
      </c>
    </row>
    <row r="6" spans="1:44" x14ac:dyDescent="0.25">
      <c r="A6" s="25">
        <f t="shared" si="0"/>
        <v>5</v>
      </c>
      <c r="B6" s="25" t="s">
        <v>139</v>
      </c>
      <c r="C6" s="75" t="s">
        <v>135</v>
      </c>
      <c r="D6" s="75" t="s">
        <v>20</v>
      </c>
      <c r="E6" s="75" t="s">
        <v>140</v>
      </c>
      <c r="F6" s="75" t="s">
        <v>141</v>
      </c>
      <c r="G6" s="75" t="s">
        <v>142</v>
      </c>
      <c r="H6" s="75" t="s">
        <v>143</v>
      </c>
      <c r="I6" s="75" t="s">
        <v>16</v>
      </c>
      <c r="J6" s="75" t="s">
        <v>16</v>
      </c>
      <c r="K6" s="25">
        <v>58.122999999999998</v>
      </c>
      <c r="L6" s="25">
        <v>0.2049</v>
      </c>
      <c r="M6" s="25">
        <v>0.1789</v>
      </c>
      <c r="N6" s="25">
        <v>0.17030000000000001</v>
      </c>
      <c r="O6" s="25">
        <v>2874.2</v>
      </c>
      <c r="P6" s="25">
        <v>2870.58</v>
      </c>
      <c r="Q6" s="25">
        <v>2869.38</v>
      </c>
      <c r="R6" s="25">
        <v>2868.2</v>
      </c>
      <c r="S6" s="25">
        <v>2648.83</v>
      </c>
      <c r="T6" s="25">
        <v>2648.42</v>
      </c>
      <c r="U6" s="25">
        <v>2648.26</v>
      </c>
      <c r="V6" s="25">
        <v>2648.12</v>
      </c>
      <c r="W6" s="25">
        <v>616.70000000000005</v>
      </c>
      <c r="X6" s="25">
        <v>0.97</v>
      </c>
      <c r="Y6" s="25">
        <v>6000</v>
      </c>
      <c r="Z6" s="25">
        <v>169</v>
      </c>
      <c r="AA6" s="25">
        <v>0.103183</v>
      </c>
      <c r="AB6" s="25">
        <v>0.104313</v>
      </c>
      <c r="AC6" s="25">
        <v>0.103321</v>
      </c>
      <c r="AD6" s="25">
        <v>7.6383999999999994E-2</v>
      </c>
      <c r="AE6" s="25">
        <v>7.6868000000000006E-2</v>
      </c>
      <c r="AF6" s="25">
        <v>7.7355999999999994E-2</v>
      </c>
      <c r="AG6" s="25">
        <v>7.7851000000000004E-2</v>
      </c>
      <c r="AH6" s="25">
        <v>7.8352000000000005E-2</v>
      </c>
      <c r="AI6" s="25">
        <v>7.8858999999999999E-2</v>
      </c>
      <c r="AJ6" s="25">
        <v>7.9374E-2</v>
      </c>
      <c r="AK6" s="25">
        <v>7.9895999999999995E-2</v>
      </c>
      <c r="AL6" s="25">
        <v>8.0424999999999996E-2</v>
      </c>
      <c r="AM6" s="25">
        <v>3252</v>
      </c>
      <c r="AN6" s="25">
        <v>4.4400000000000002E-2</v>
      </c>
      <c r="AO6" s="25">
        <v>121.4</v>
      </c>
      <c r="AP6" s="25">
        <v>1.6899999999999998E-2</v>
      </c>
      <c r="AQ6" s="25" t="e" cm="1">
        <f t="array" aca="1" ref="AQ6" ca="1">VBAProject.LinearInt.lin_int(CONVERT(60,"F","C"),15,20,M6,N6)</f>
        <v>#NAME?</v>
      </c>
      <c r="AR6" s="25" t="e" cm="1">
        <f t="array" aca="1" ref="AR6" ca="1">VBAProject.LinearInt.lin_int(CONVERT(60,"F","C"),15,20,P6,Q6)</f>
        <v>#NAME?</v>
      </c>
    </row>
    <row r="7" spans="1:44" x14ac:dyDescent="0.25">
      <c r="A7" s="25">
        <f t="shared" si="0"/>
        <v>6</v>
      </c>
      <c r="B7" s="25" t="s">
        <v>144</v>
      </c>
      <c r="C7" s="75" t="s">
        <v>145</v>
      </c>
      <c r="D7" s="75" t="s">
        <v>23</v>
      </c>
      <c r="E7" s="75" t="s">
        <v>146</v>
      </c>
      <c r="F7" s="75" t="s">
        <v>147</v>
      </c>
      <c r="G7" s="75" t="s">
        <v>148</v>
      </c>
      <c r="H7" s="75" t="s">
        <v>16</v>
      </c>
      <c r="I7" s="75" t="s">
        <v>16</v>
      </c>
      <c r="J7" s="75" t="s">
        <v>16</v>
      </c>
      <c r="K7" s="25">
        <v>72.150000000000006</v>
      </c>
      <c r="L7" s="25">
        <v>0.28639999999999999</v>
      </c>
      <c r="M7" s="25">
        <v>0.251</v>
      </c>
      <c r="N7" s="25">
        <v>0.23449999999999999</v>
      </c>
      <c r="O7" s="25">
        <v>3542.89</v>
      </c>
      <c r="P7" s="25">
        <v>3538.6</v>
      </c>
      <c r="Q7" s="25">
        <v>3537.17</v>
      </c>
      <c r="R7" s="25">
        <v>3535.77</v>
      </c>
      <c r="S7" s="25">
        <v>3272.45</v>
      </c>
      <c r="T7" s="25">
        <v>3272</v>
      </c>
      <c r="U7" s="25">
        <v>3271.83</v>
      </c>
      <c r="V7" s="25">
        <v>3271.67</v>
      </c>
      <c r="W7" s="25">
        <v>676.2</v>
      </c>
      <c r="X7" s="25">
        <v>0.87</v>
      </c>
      <c r="Y7" s="25">
        <v>7000</v>
      </c>
      <c r="Z7" s="25">
        <v>231</v>
      </c>
      <c r="AA7" s="25">
        <v>0.114366</v>
      </c>
      <c r="AB7" s="25">
        <v>0.115215</v>
      </c>
      <c r="AC7" s="25">
        <v>0.114455</v>
      </c>
      <c r="AD7" s="25">
        <v>8.9497999999999994E-2</v>
      </c>
      <c r="AE7" s="25">
        <v>9.0015999999999999E-2</v>
      </c>
      <c r="AF7" s="25">
        <v>9.0536000000000005E-2</v>
      </c>
      <c r="AG7" s="25">
        <v>9.1058E-2</v>
      </c>
      <c r="AH7" s="25">
        <v>9.1582999999999998E-2</v>
      </c>
      <c r="AI7" s="25">
        <v>9.2110999999999998E-2</v>
      </c>
      <c r="AJ7" s="25">
        <v>9.2642000000000002E-2</v>
      </c>
      <c r="AK7" s="25">
        <v>9.3176999999999996E-2</v>
      </c>
      <c r="AL7" s="25">
        <v>9.3715000000000007E-2</v>
      </c>
      <c r="AM7" s="25">
        <v>4008.7</v>
      </c>
      <c r="AN7" s="25">
        <v>6.0299999999999999E-2</v>
      </c>
      <c r="AO7" s="25">
        <v>149.66</v>
      </c>
      <c r="AP7" s="25">
        <v>2.3E-2</v>
      </c>
      <c r="AQ7" s="25" t="e" cm="1">
        <f t="array" aca="1" ref="AQ7" ca="1">VBAProject.LinearInt.lin_int(CONVERT(60,"F","C"),15,20,M7,N7)</f>
        <v>#NAME?</v>
      </c>
      <c r="AR7" s="25" t="e" cm="1">
        <f t="array" aca="1" ref="AR7" ca="1">VBAProject.LinearInt.lin_int(CONVERT(60,"F","C"),15,20,P7,Q7)</f>
        <v>#NAME?</v>
      </c>
    </row>
    <row r="8" spans="1:44" x14ac:dyDescent="0.25">
      <c r="A8" s="25">
        <f t="shared" si="0"/>
        <v>7</v>
      </c>
      <c r="B8" s="25" t="s">
        <v>149</v>
      </c>
      <c r="C8" s="75" t="s">
        <v>145</v>
      </c>
      <c r="D8" s="75" t="s">
        <v>22</v>
      </c>
      <c r="E8" s="75" t="s">
        <v>150</v>
      </c>
      <c r="F8" s="75" t="s">
        <v>151</v>
      </c>
      <c r="G8" s="75" t="s">
        <v>152</v>
      </c>
      <c r="H8" s="75" t="s">
        <v>153</v>
      </c>
      <c r="I8" s="75" t="s">
        <v>16</v>
      </c>
      <c r="J8" s="75" t="s">
        <v>16</v>
      </c>
      <c r="K8" s="25">
        <v>72.150000000000006</v>
      </c>
      <c r="L8" s="25">
        <v>0.251</v>
      </c>
      <c r="M8" s="25">
        <v>0.22800000000000001</v>
      </c>
      <c r="N8" s="25">
        <v>0.21679999999999999</v>
      </c>
      <c r="O8" s="25">
        <v>3535.98</v>
      </c>
      <c r="P8" s="25">
        <v>3531.68</v>
      </c>
      <c r="Q8" s="25">
        <v>3530.24</v>
      </c>
      <c r="R8" s="25">
        <v>3528.83</v>
      </c>
      <c r="S8" s="25">
        <v>3265.54</v>
      </c>
      <c r="T8" s="25">
        <v>3265.08</v>
      </c>
      <c r="U8" s="25">
        <v>3264.89</v>
      </c>
      <c r="V8" s="25">
        <v>3264.73</v>
      </c>
      <c r="W8" s="25">
        <v>666.6</v>
      </c>
      <c r="X8" s="25">
        <v>0.88</v>
      </c>
      <c r="Y8" s="25">
        <v>6000</v>
      </c>
      <c r="Z8" s="25">
        <v>222</v>
      </c>
      <c r="AA8" s="25">
        <v>0.115508</v>
      </c>
      <c r="AB8" s="25">
        <v>0.116437</v>
      </c>
      <c r="AC8" s="25">
        <v>0.115608</v>
      </c>
      <c r="AD8" s="25">
        <v>8.9576000000000003E-2</v>
      </c>
      <c r="AE8" s="25">
        <v>9.0107000000000007E-2</v>
      </c>
      <c r="AF8" s="25">
        <v>9.0642E-2</v>
      </c>
      <c r="AG8" s="25">
        <v>9.1178999999999996E-2</v>
      </c>
      <c r="AH8" s="25">
        <v>9.1720999999999997E-2</v>
      </c>
      <c r="AI8" s="25">
        <v>9.2267000000000002E-2</v>
      </c>
      <c r="AJ8" s="25">
        <v>9.2816999999999997E-2</v>
      </c>
      <c r="AK8" s="25">
        <v>9.3371999999999997E-2</v>
      </c>
      <c r="AL8" s="25">
        <v>9.393E-2</v>
      </c>
      <c r="AM8" s="25">
        <v>4000.9</v>
      </c>
      <c r="AN8" s="25">
        <v>5.7200000000000001E-2</v>
      </c>
      <c r="AO8" s="25">
        <v>149.36000000000001</v>
      </c>
      <c r="AP8" s="25">
        <v>2.1899999999999999E-2</v>
      </c>
      <c r="AQ8" s="25" t="e" cm="1">
        <f t="array" aca="1" ref="AQ8" ca="1">VBAProject.LinearInt.lin_int(CONVERT(60,"F","C"),15,20,M8,N8)</f>
        <v>#NAME?</v>
      </c>
      <c r="AR8" s="25" t="e" cm="1">
        <f t="array" aca="1" ref="AR8" ca="1">VBAProject.LinearInt.lin_int(CONVERT(60,"F","C"),15,20,P8,Q8)</f>
        <v>#NAME?</v>
      </c>
    </row>
    <row r="9" spans="1:44" x14ac:dyDescent="0.25">
      <c r="A9" s="25">
        <f t="shared" si="0"/>
        <v>8</v>
      </c>
      <c r="B9" s="25" t="s">
        <v>154</v>
      </c>
      <c r="C9" s="75" t="s">
        <v>145</v>
      </c>
      <c r="D9" s="75" t="s">
        <v>24</v>
      </c>
      <c r="E9" s="75" t="s">
        <v>155</v>
      </c>
      <c r="F9" s="75" t="s">
        <v>156</v>
      </c>
      <c r="G9" s="75" t="s">
        <v>157</v>
      </c>
      <c r="H9" s="75" t="s">
        <v>158</v>
      </c>
      <c r="I9" s="75" t="s">
        <v>16</v>
      </c>
      <c r="J9" s="75" t="s">
        <v>16</v>
      </c>
      <c r="K9" s="25">
        <v>72.150000000000006</v>
      </c>
      <c r="L9" s="25">
        <v>0.2387</v>
      </c>
      <c r="M9" s="25">
        <v>0.21210000000000001</v>
      </c>
      <c r="N9" s="25">
        <v>0.20250000000000001</v>
      </c>
      <c r="O9" s="25">
        <v>3521.72</v>
      </c>
      <c r="P9" s="25">
        <v>3517.43</v>
      </c>
      <c r="Q9" s="25">
        <v>3516.01</v>
      </c>
      <c r="R9" s="25">
        <v>3514.61</v>
      </c>
      <c r="S9" s="25">
        <v>3251.28</v>
      </c>
      <c r="T9" s="25">
        <v>3250.83</v>
      </c>
      <c r="U9" s="25">
        <v>3250.67</v>
      </c>
      <c r="V9" s="25">
        <v>3250.51</v>
      </c>
      <c r="W9" s="25">
        <v>0</v>
      </c>
      <c r="X9" s="25">
        <v>0</v>
      </c>
      <c r="Y9" s="25">
        <v>0</v>
      </c>
      <c r="Z9" s="25">
        <v>0</v>
      </c>
      <c r="AA9" s="25">
        <v>0</v>
      </c>
      <c r="AB9" s="25">
        <v>0</v>
      </c>
      <c r="AC9" s="25">
        <v>0</v>
      </c>
      <c r="AD9" s="25">
        <v>0</v>
      </c>
      <c r="AE9" s="25">
        <v>0</v>
      </c>
      <c r="AF9" s="25">
        <v>0</v>
      </c>
      <c r="AG9" s="25">
        <v>0</v>
      </c>
      <c r="AH9" s="25">
        <v>0</v>
      </c>
      <c r="AI9" s="25">
        <v>0</v>
      </c>
      <c r="AJ9" s="25">
        <v>0</v>
      </c>
      <c r="AK9" s="25">
        <v>0</v>
      </c>
      <c r="AL9" s="25">
        <v>0</v>
      </c>
      <c r="AM9" s="26">
        <v>3984.8608476288714</v>
      </c>
      <c r="AN9" s="25">
        <v>0</v>
      </c>
      <c r="AO9" s="26">
        <v>148.76</v>
      </c>
      <c r="AP9" s="25">
        <v>0</v>
      </c>
      <c r="AQ9" s="25" t="e" cm="1">
        <f t="array" aca="1" ref="AQ9" ca="1">VBAProject.LinearInt.lin_int(CONVERT(60,"F","C"),15,20,M9,N9)</f>
        <v>#NAME?</v>
      </c>
      <c r="AR9" s="25" t="e" cm="1">
        <f t="array" aca="1" ref="AR9" ca="1">VBAProject.LinearInt.lin_int(CONVERT(60,"F","C"),15,20,P9,Q9)</f>
        <v>#NAME?</v>
      </c>
    </row>
    <row r="10" spans="1:44" x14ac:dyDescent="0.25">
      <c r="A10" s="25">
        <f t="shared" si="0"/>
        <v>9</v>
      </c>
      <c r="B10" s="25" t="s">
        <v>159</v>
      </c>
      <c r="C10" s="75" t="s">
        <v>160</v>
      </c>
      <c r="D10" s="75" t="s">
        <v>25</v>
      </c>
      <c r="E10" s="75" t="s">
        <v>161</v>
      </c>
      <c r="F10" s="75" t="s">
        <v>162</v>
      </c>
      <c r="G10" s="75" t="s">
        <v>16</v>
      </c>
      <c r="H10" s="75" t="s">
        <v>16</v>
      </c>
      <c r="I10" s="75" t="s">
        <v>16</v>
      </c>
      <c r="J10" s="75" t="s">
        <v>16</v>
      </c>
      <c r="K10" s="25">
        <v>86.177000000000007</v>
      </c>
      <c r="L10" s="25">
        <v>0.3286</v>
      </c>
      <c r="M10" s="25">
        <v>0.29499999999999998</v>
      </c>
      <c r="N10" s="25">
        <v>0.28460000000000002</v>
      </c>
      <c r="O10" s="25">
        <v>4203.2299999999996</v>
      </c>
      <c r="P10" s="25">
        <v>4198.24</v>
      </c>
      <c r="Q10" s="25">
        <v>4196.58</v>
      </c>
      <c r="R10" s="25">
        <v>4194.95</v>
      </c>
      <c r="S10" s="25">
        <v>3887.71</v>
      </c>
      <c r="T10" s="25">
        <v>3887.21</v>
      </c>
      <c r="U10" s="25">
        <v>3887.01</v>
      </c>
      <c r="V10" s="25">
        <v>3886.84</v>
      </c>
      <c r="W10" s="25">
        <v>705</v>
      </c>
      <c r="X10" s="25">
        <v>0.83</v>
      </c>
      <c r="Y10" s="25">
        <v>7000</v>
      </c>
      <c r="Z10" s="25">
        <v>269</v>
      </c>
      <c r="AA10" s="25">
        <v>0.12981999999999999</v>
      </c>
      <c r="AB10" s="25">
        <v>0.13070000000000001</v>
      </c>
      <c r="AC10" s="25">
        <v>0.129912</v>
      </c>
      <c r="AD10" s="25">
        <v>0.10273</v>
      </c>
      <c r="AE10" s="25">
        <v>0.10326</v>
      </c>
      <c r="AF10" s="25">
        <v>0.1308</v>
      </c>
      <c r="AG10" s="25">
        <v>0.10434</v>
      </c>
      <c r="AH10" s="25">
        <v>0.10489</v>
      </c>
      <c r="AI10" s="25">
        <v>0.10545</v>
      </c>
      <c r="AJ10" s="25">
        <v>0.10602</v>
      </c>
      <c r="AK10" s="25">
        <v>0.10659</v>
      </c>
      <c r="AL10" s="25">
        <v>0.10716000000000001</v>
      </c>
      <c r="AM10" s="25">
        <v>4755.8999999999996</v>
      </c>
      <c r="AN10" s="25">
        <v>7.9200000000000007E-2</v>
      </c>
      <c r="AO10" s="25">
        <v>177.55</v>
      </c>
      <c r="AP10" s="25">
        <v>3.0300000000000001E-2</v>
      </c>
      <c r="AQ10" s="25" t="e" cm="1">
        <f t="array" aca="1" ref="AQ10" ca="1">VBAProject.LinearInt.lin_int(CONVERT(60,"F","C"),15,20,M10,N10)</f>
        <v>#NAME?</v>
      </c>
      <c r="AR10" s="25" t="e" cm="1">
        <f t="array" aca="1" ref="AR10" ca="1">VBAProject.LinearInt.lin_int(CONVERT(60,"F","C"),15,20,P10,Q10)</f>
        <v>#NAME?</v>
      </c>
    </row>
    <row r="11" spans="1:44" x14ac:dyDescent="0.25">
      <c r="A11" s="25">
        <f t="shared" si="0"/>
        <v>10</v>
      </c>
      <c r="B11" s="25" t="s">
        <v>163</v>
      </c>
      <c r="C11" s="75" t="s">
        <v>160</v>
      </c>
      <c r="D11" s="75" t="s">
        <v>163</v>
      </c>
      <c r="E11" s="75" t="s">
        <v>164</v>
      </c>
      <c r="F11" s="75" t="s">
        <v>16</v>
      </c>
      <c r="G11" s="75" t="s">
        <v>16</v>
      </c>
      <c r="H11" s="75" t="s">
        <v>16</v>
      </c>
      <c r="I11" s="75" t="s">
        <v>16</v>
      </c>
      <c r="J11" s="75" t="s">
        <v>16</v>
      </c>
      <c r="K11" s="25">
        <v>86.177000000000007</v>
      </c>
      <c r="L11" s="25">
        <v>0.31940000000000002</v>
      </c>
      <c r="M11" s="25">
        <v>0.29330000000000001</v>
      </c>
      <c r="N11" s="25">
        <v>0.27200000000000002</v>
      </c>
      <c r="O11" s="25">
        <v>4195.6099999999997</v>
      </c>
      <c r="P11" s="25">
        <v>4190.62</v>
      </c>
      <c r="Q11" s="25">
        <v>4188.95</v>
      </c>
      <c r="R11" s="25">
        <v>4187.32</v>
      </c>
      <c r="S11" s="25">
        <v>3880.09</v>
      </c>
      <c r="T11" s="25">
        <v>3879.59</v>
      </c>
      <c r="U11" s="25">
        <v>3879.38</v>
      </c>
      <c r="V11" s="25">
        <v>3879.21</v>
      </c>
      <c r="W11" s="25">
        <v>0</v>
      </c>
      <c r="X11" s="25">
        <v>0</v>
      </c>
      <c r="Y11" s="25">
        <v>0</v>
      </c>
      <c r="Z11" s="25">
        <v>0</v>
      </c>
      <c r="AA11" s="25">
        <v>0</v>
      </c>
      <c r="AB11" s="25">
        <v>0</v>
      </c>
      <c r="AC11" s="25">
        <v>0</v>
      </c>
      <c r="AD11" s="25">
        <v>0</v>
      </c>
      <c r="AE11" s="25">
        <v>0</v>
      </c>
      <c r="AF11" s="25">
        <v>0</v>
      </c>
      <c r="AG11" s="25">
        <v>0</v>
      </c>
      <c r="AH11" s="25">
        <v>0</v>
      </c>
      <c r="AI11" s="25">
        <v>0</v>
      </c>
      <c r="AJ11" s="25">
        <v>0</v>
      </c>
      <c r="AK11" s="25">
        <v>0</v>
      </c>
      <c r="AL11" s="25">
        <v>0</v>
      </c>
      <c r="AM11" s="26">
        <v>4747.5136841289004</v>
      </c>
      <c r="AN11" s="25">
        <v>0</v>
      </c>
      <c r="AO11" s="26">
        <v>177.23</v>
      </c>
      <c r="AP11" s="25">
        <v>0</v>
      </c>
      <c r="AQ11" s="25" t="e" cm="1">
        <f t="array" aca="1" ref="AQ11" ca="1">VBAProject.LinearInt.lin_int(CONVERT(60,"F","C"),15,20,M11,N11)</f>
        <v>#NAME?</v>
      </c>
      <c r="AR11" s="25" t="e" cm="1">
        <f t="array" aca="1" ref="AR11" ca="1">VBAProject.LinearInt.lin_int(CONVERT(60,"F","C"),15,20,P11,Q11)</f>
        <v>#NAME?</v>
      </c>
    </row>
    <row r="12" spans="1:44" x14ac:dyDescent="0.25">
      <c r="A12" s="25">
        <f t="shared" si="0"/>
        <v>11</v>
      </c>
      <c r="B12" s="25" t="s">
        <v>165</v>
      </c>
      <c r="C12" s="75" t="s">
        <v>160</v>
      </c>
      <c r="D12" s="75" t="s">
        <v>165</v>
      </c>
      <c r="E12" s="75" t="s">
        <v>16</v>
      </c>
      <c r="F12" s="75" t="s">
        <v>16</v>
      </c>
      <c r="G12" s="75" t="s">
        <v>16</v>
      </c>
      <c r="H12" s="75" t="s">
        <v>16</v>
      </c>
      <c r="I12" s="75" t="s">
        <v>16</v>
      </c>
      <c r="J12" s="75" t="s">
        <v>16</v>
      </c>
      <c r="K12" s="25">
        <v>86.177000000000007</v>
      </c>
      <c r="L12" s="25">
        <v>0.31940000000000002</v>
      </c>
      <c r="M12" s="25">
        <v>0.28810000000000002</v>
      </c>
      <c r="N12" s="25">
        <v>0.26829999999999998</v>
      </c>
      <c r="O12" s="25">
        <v>4198.24</v>
      </c>
      <c r="P12" s="25">
        <v>4193.22</v>
      </c>
      <c r="Q12" s="25">
        <v>4191.54</v>
      </c>
      <c r="R12" s="25">
        <v>4189.8999999999996</v>
      </c>
      <c r="S12" s="25">
        <v>3882.72</v>
      </c>
      <c r="T12" s="25">
        <v>3882.19</v>
      </c>
      <c r="U12" s="25">
        <v>3881.97</v>
      </c>
      <c r="V12" s="25">
        <v>3881.79</v>
      </c>
      <c r="W12" s="25">
        <v>0</v>
      </c>
      <c r="X12" s="25">
        <v>0</v>
      </c>
      <c r="Y12" s="25">
        <v>0</v>
      </c>
      <c r="Z12" s="25">
        <v>0</v>
      </c>
      <c r="AA12" s="25">
        <v>0</v>
      </c>
      <c r="AB12" s="25">
        <v>0</v>
      </c>
      <c r="AC12" s="25">
        <v>0</v>
      </c>
      <c r="AD12" s="25">
        <v>0</v>
      </c>
      <c r="AE12" s="25">
        <v>0</v>
      </c>
      <c r="AF12" s="25">
        <v>0</v>
      </c>
      <c r="AG12" s="25">
        <v>0</v>
      </c>
      <c r="AH12" s="25">
        <v>0</v>
      </c>
      <c r="AI12" s="25">
        <v>0</v>
      </c>
      <c r="AJ12" s="25">
        <v>0</v>
      </c>
      <c r="AK12" s="25">
        <v>0</v>
      </c>
      <c r="AL12" s="25">
        <v>0</v>
      </c>
      <c r="AM12" s="26">
        <v>4750.4580882365117</v>
      </c>
      <c r="AN12" s="25">
        <v>0</v>
      </c>
      <c r="AO12" s="26">
        <v>177.34</v>
      </c>
      <c r="AP12" s="25">
        <v>0</v>
      </c>
      <c r="AQ12" s="25" t="e" cm="1">
        <f t="array" aca="1" ref="AQ12" ca="1">VBAProject.LinearInt.lin_int(CONVERT(60,"F","C"),15,20,M12,N12)</f>
        <v>#NAME?</v>
      </c>
      <c r="AR12" s="25" t="e" cm="1">
        <f t="array" aca="1" ref="AR12" ca="1">VBAProject.LinearInt.lin_int(CONVERT(60,"F","C"),15,20,P12,Q12)</f>
        <v>#NAME?</v>
      </c>
    </row>
    <row r="13" spans="1:44" x14ac:dyDescent="0.25">
      <c r="A13" s="25">
        <f t="shared" si="0"/>
        <v>12</v>
      </c>
      <c r="B13" s="25" t="s">
        <v>166</v>
      </c>
      <c r="C13" s="75" t="s">
        <v>160</v>
      </c>
      <c r="D13" s="75" t="s">
        <v>166</v>
      </c>
      <c r="E13" s="75" t="s">
        <v>167</v>
      </c>
      <c r="F13" s="75" t="s">
        <v>168</v>
      </c>
      <c r="G13" s="75" t="s">
        <v>169</v>
      </c>
      <c r="H13" s="75" t="s">
        <v>170</v>
      </c>
      <c r="I13" s="75" t="s">
        <v>16</v>
      </c>
      <c r="J13" s="75" t="s">
        <v>16</v>
      </c>
      <c r="K13" s="25">
        <v>86.177000000000007</v>
      </c>
      <c r="L13" s="25">
        <v>0.2898</v>
      </c>
      <c r="M13" s="25">
        <v>0.26269999999999999</v>
      </c>
      <c r="N13" s="25">
        <v>0.255</v>
      </c>
      <c r="O13" s="25">
        <v>4185.84</v>
      </c>
      <c r="P13" s="25">
        <v>4180.83</v>
      </c>
      <c r="Q13" s="25">
        <v>4179.1499999999996</v>
      </c>
      <c r="R13" s="25">
        <v>4177.5200000000004</v>
      </c>
      <c r="S13" s="25">
        <v>3870.32</v>
      </c>
      <c r="T13" s="25">
        <v>3869.8</v>
      </c>
      <c r="U13" s="25">
        <v>3869.59</v>
      </c>
      <c r="V13" s="25">
        <v>3869.41</v>
      </c>
      <c r="W13" s="25">
        <v>0</v>
      </c>
      <c r="X13" s="25">
        <v>0</v>
      </c>
      <c r="Y13" s="25">
        <v>0</v>
      </c>
      <c r="Z13" s="25">
        <v>0</v>
      </c>
      <c r="AA13" s="25">
        <v>0</v>
      </c>
      <c r="AB13" s="25">
        <v>0</v>
      </c>
      <c r="AC13" s="25">
        <v>0</v>
      </c>
      <c r="AD13" s="25">
        <v>0</v>
      </c>
      <c r="AE13" s="25">
        <v>0</v>
      </c>
      <c r="AF13" s="25">
        <v>0</v>
      </c>
      <c r="AG13" s="25">
        <v>0</v>
      </c>
      <c r="AH13" s="25">
        <v>0</v>
      </c>
      <c r="AI13" s="25">
        <v>0</v>
      </c>
      <c r="AJ13" s="25">
        <v>0</v>
      </c>
      <c r="AK13" s="25">
        <v>0</v>
      </c>
      <c r="AL13" s="25">
        <v>0</v>
      </c>
      <c r="AM13" s="26">
        <v>4736.4209625489739</v>
      </c>
      <c r="AN13" s="25">
        <v>0</v>
      </c>
      <c r="AO13" s="26">
        <v>176.82</v>
      </c>
      <c r="AP13" s="25">
        <v>0</v>
      </c>
      <c r="AQ13" s="25" t="e" cm="1">
        <f t="array" aca="1" ref="AQ13" ca="1">VBAProject.LinearInt.lin_int(CONVERT(60,"F","C"),15,20,M13,N13)</f>
        <v>#NAME?</v>
      </c>
      <c r="AR13" s="25" t="e" cm="1">
        <f t="array" aca="1" ref="AR13" ca="1">VBAProject.LinearInt.lin_int(CONVERT(60,"F","C"),15,20,P13,Q13)</f>
        <v>#NAME?</v>
      </c>
    </row>
    <row r="14" spans="1:44" x14ac:dyDescent="0.25">
      <c r="A14" s="25">
        <f t="shared" si="0"/>
        <v>13</v>
      </c>
      <c r="B14" s="25" t="s">
        <v>171</v>
      </c>
      <c r="C14" s="75" t="s">
        <v>160</v>
      </c>
      <c r="D14" s="75" t="s">
        <v>171</v>
      </c>
      <c r="E14" s="75" t="s">
        <v>172</v>
      </c>
      <c r="F14" s="75" t="s">
        <v>16</v>
      </c>
      <c r="G14" s="75" t="s">
        <v>16</v>
      </c>
      <c r="H14" s="75" t="s">
        <v>16</v>
      </c>
      <c r="I14" s="75" t="s">
        <v>16</v>
      </c>
      <c r="J14" s="75" t="s">
        <v>16</v>
      </c>
      <c r="K14" s="25">
        <v>86.177000000000007</v>
      </c>
      <c r="L14" s="25">
        <v>0.3</v>
      </c>
      <c r="M14" s="25">
        <v>0.27389999999999998</v>
      </c>
      <c r="N14" s="25">
        <v>0.25690000000000002</v>
      </c>
      <c r="O14" s="25">
        <v>4193.63</v>
      </c>
      <c r="P14" s="25">
        <v>4188.6000000000004</v>
      </c>
      <c r="Q14" s="25">
        <v>4186.93</v>
      </c>
      <c r="R14" s="25">
        <v>4185.28</v>
      </c>
      <c r="S14" s="25">
        <v>3878.11</v>
      </c>
      <c r="T14" s="25">
        <v>3877.57</v>
      </c>
      <c r="U14" s="25">
        <v>3877.36</v>
      </c>
      <c r="V14" s="25">
        <v>3877.17</v>
      </c>
      <c r="W14" s="25">
        <v>0</v>
      </c>
      <c r="X14" s="25">
        <v>0</v>
      </c>
      <c r="Y14" s="25">
        <v>0</v>
      </c>
      <c r="Z14" s="25">
        <v>0</v>
      </c>
      <c r="AA14" s="25">
        <v>0</v>
      </c>
      <c r="AB14" s="25">
        <v>0</v>
      </c>
      <c r="AC14" s="25">
        <v>0</v>
      </c>
      <c r="AD14" s="25">
        <v>0</v>
      </c>
      <c r="AE14" s="25">
        <v>0</v>
      </c>
      <c r="AF14" s="25">
        <v>0</v>
      </c>
      <c r="AG14" s="25">
        <v>0</v>
      </c>
      <c r="AH14" s="25">
        <v>0</v>
      </c>
      <c r="AI14" s="25">
        <v>0</v>
      </c>
      <c r="AJ14" s="25">
        <v>0</v>
      </c>
      <c r="AK14" s="25">
        <v>0</v>
      </c>
      <c r="AL14" s="25">
        <v>0</v>
      </c>
      <c r="AM14" s="26">
        <v>4745.2251454776651</v>
      </c>
      <c r="AN14" s="25">
        <v>0</v>
      </c>
      <c r="AO14" s="26">
        <v>177.15</v>
      </c>
      <c r="AP14" s="25">
        <v>0</v>
      </c>
      <c r="AQ14" s="25" t="e" cm="1">
        <f t="array" aca="1" ref="AQ14" ca="1">VBAProject.LinearInt.lin_int(CONVERT(60,"F","C"),15,20,M14,N14)</f>
        <v>#NAME?</v>
      </c>
      <c r="AR14" s="25" t="e" cm="1">
        <f t="array" aca="1" ref="AR14" ca="1">VBAProject.LinearInt.lin_int(CONVERT(60,"F","C"),15,20,P14,Q14)</f>
        <v>#NAME?</v>
      </c>
    </row>
    <row r="15" spans="1:44" x14ac:dyDescent="0.25">
      <c r="A15" s="25">
        <f t="shared" si="0"/>
        <v>14</v>
      </c>
      <c r="B15" s="25" t="s">
        <v>173</v>
      </c>
      <c r="C15" s="75" t="s">
        <v>174</v>
      </c>
      <c r="D15" s="75" t="s">
        <v>28</v>
      </c>
      <c r="E15" s="75" t="s">
        <v>175</v>
      </c>
      <c r="F15" s="75" t="s">
        <v>176</v>
      </c>
      <c r="G15" s="75" t="s">
        <v>16</v>
      </c>
      <c r="H15" s="75" t="s">
        <v>16</v>
      </c>
      <c r="I15" s="75" t="s">
        <v>16</v>
      </c>
      <c r="J15" s="75" t="s">
        <v>16</v>
      </c>
      <c r="K15" s="25">
        <v>100.20399999999999</v>
      </c>
      <c r="L15" s="25">
        <v>0.4123</v>
      </c>
      <c r="M15" s="25">
        <v>0.36609999999999998</v>
      </c>
      <c r="N15" s="25">
        <v>0.35210000000000002</v>
      </c>
      <c r="O15" s="25">
        <v>4862.87</v>
      </c>
      <c r="P15" s="25">
        <v>4857.18</v>
      </c>
      <c r="Q15" s="25">
        <v>4855.29</v>
      </c>
      <c r="R15" s="25">
        <v>4853.43</v>
      </c>
      <c r="S15" s="25">
        <v>4502.28</v>
      </c>
      <c r="T15" s="25">
        <v>4501.72</v>
      </c>
      <c r="U15" s="25">
        <v>4501.49</v>
      </c>
      <c r="V15" s="25">
        <v>4501.3</v>
      </c>
      <c r="W15" s="25">
        <v>731.9</v>
      </c>
      <c r="X15" s="25">
        <v>0.85</v>
      </c>
      <c r="Y15" s="25">
        <v>7000</v>
      </c>
      <c r="Z15" s="25">
        <v>301</v>
      </c>
      <c r="AA15" s="25">
        <v>0.145646</v>
      </c>
      <c r="AB15" s="25">
        <v>0.14655099999999999</v>
      </c>
      <c r="AC15" s="25">
        <v>0.14574300000000001</v>
      </c>
      <c r="AD15" s="25">
        <v>0</v>
      </c>
      <c r="AE15" s="25">
        <v>0</v>
      </c>
      <c r="AF15" s="25">
        <v>0</v>
      </c>
      <c r="AG15" s="25">
        <v>0</v>
      </c>
      <c r="AH15" s="25">
        <v>0</v>
      </c>
      <c r="AI15" s="25">
        <v>0</v>
      </c>
      <c r="AJ15" s="25">
        <v>0</v>
      </c>
      <c r="AK15" s="25">
        <v>0</v>
      </c>
      <c r="AL15" s="25">
        <v>0</v>
      </c>
      <c r="AM15" s="25">
        <v>5502.5</v>
      </c>
      <c r="AN15" s="25">
        <v>9.4399999999999998E-2</v>
      </c>
      <c r="AO15" s="25">
        <v>205.42</v>
      </c>
      <c r="AP15" s="25">
        <v>3.6400000000000002E-2</v>
      </c>
      <c r="AQ15" s="25" t="e" cm="1">
        <f t="array" aca="1" ref="AQ15" ca="1">VBAProject.LinearInt.lin_int(CONVERT(60,"F","C"),15,20,M15,N15)</f>
        <v>#NAME?</v>
      </c>
      <c r="AR15" s="25" t="e" cm="1">
        <f t="array" aca="1" ref="AR15" ca="1">VBAProject.LinearInt.lin_int(CONVERT(60,"F","C"),15,20,P15,Q15)</f>
        <v>#NAME?</v>
      </c>
    </row>
    <row r="16" spans="1:44" x14ac:dyDescent="0.25">
      <c r="A16" s="25">
        <f t="shared" si="0"/>
        <v>15</v>
      </c>
      <c r="B16" s="25" t="s">
        <v>177</v>
      </c>
      <c r="C16" s="75" t="s">
        <v>178</v>
      </c>
      <c r="D16" s="75" t="s">
        <v>29</v>
      </c>
      <c r="E16" s="75" t="s">
        <v>179</v>
      </c>
      <c r="F16" s="75" t="s">
        <v>180</v>
      </c>
      <c r="G16" s="75" t="s">
        <v>16</v>
      </c>
      <c r="H16" s="75" t="s">
        <v>16</v>
      </c>
      <c r="I16" s="75" t="s">
        <v>16</v>
      </c>
      <c r="J16" s="75" t="s">
        <v>16</v>
      </c>
      <c r="K16" s="25">
        <v>114.23099999999999</v>
      </c>
      <c r="L16" s="25">
        <v>0.50790000000000002</v>
      </c>
      <c r="M16" s="25">
        <v>0.44500000000000001</v>
      </c>
      <c r="N16" s="25">
        <v>0.42780000000000001</v>
      </c>
      <c r="O16" s="25">
        <v>5522.4</v>
      </c>
      <c r="P16" s="25">
        <v>5516.01</v>
      </c>
      <c r="Q16" s="25">
        <v>5513.88</v>
      </c>
      <c r="R16" s="25">
        <v>5511.8</v>
      </c>
      <c r="S16" s="25">
        <v>5116.7299999999996</v>
      </c>
      <c r="T16" s="25">
        <v>5116.1099999999997</v>
      </c>
      <c r="U16" s="25">
        <v>5115.87</v>
      </c>
      <c r="V16" s="25">
        <v>5115.66</v>
      </c>
      <c r="W16" s="25">
        <v>0</v>
      </c>
      <c r="X16" s="25">
        <v>0</v>
      </c>
      <c r="Y16" s="25">
        <v>0</v>
      </c>
      <c r="Z16" s="25">
        <v>0</v>
      </c>
      <c r="AA16" s="25">
        <v>0</v>
      </c>
      <c r="AB16" s="25">
        <v>0</v>
      </c>
      <c r="AC16" s="25">
        <v>0</v>
      </c>
      <c r="AD16" s="25">
        <v>0</v>
      </c>
      <c r="AE16" s="25">
        <v>0</v>
      </c>
      <c r="AF16" s="25">
        <v>0</v>
      </c>
      <c r="AG16" s="25">
        <v>0</v>
      </c>
      <c r="AH16" s="25">
        <v>0</v>
      </c>
      <c r="AI16" s="25">
        <v>0</v>
      </c>
      <c r="AJ16" s="25">
        <v>0</v>
      </c>
      <c r="AK16" s="25">
        <v>0</v>
      </c>
      <c r="AL16" s="25">
        <v>0</v>
      </c>
      <c r="AM16" s="25">
        <v>6248.9</v>
      </c>
      <c r="AN16" s="25">
        <v>0.1137</v>
      </c>
      <c r="AO16" s="25">
        <v>233.29</v>
      </c>
      <c r="AP16" s="25">
        <v>4.6399999999999997E-2</v>
      </c>
      <c r="AQ16" s="25" t="e" cm="1">
        <f t="array" aca="1" ref="AQ16" ca="1">VBAProject.LinearInt.lin_int(CONVERT(60,"F","C"),15,20,M16,N16)</f>
        <v>#NAME?</v>
      </c>
      <c r="AR16" s="25" t="e" cm="1">
        <f t="array" aca="1" ref="AR16" ca="1">VBAProject.LinearInt.lin_int(CONVERT(60,"F","C"),15,20,P16,Q16)</f>
        <v>#NAME?</v>
      </c>
    </row>
    <row r="17" spans="1:44" x14ac:dyDescent="0.25">
      <c r="A17" s="25">
        <f t="shared" si="0"/>
        <v>16</v>
      </c>
      <c r="B17" s="25" t="s">
        <v>181</v>
      </c>
      <c r="C17" s="75" t="s">
        <v>182</v>
      </c>
      <c r="D17" s="75" t="s">
        <v>30</v>
      </c>
      <c r="E17" s="75" t="s">
        <v>183</v>
      </c>
      <c r="F17" s="75" t="s">
        <v>184</v>
      </c>
      <c r="G17" s="75" t="s">
        <v>16</v>
      </c>
      <c r="H17" s="75" t="s">
        <v>16</v>
      </c>
      <c r="I17" s="75" t="s">
        <v>16</v>
      </c>
      <c r="J17" s="75" t="s">
        <v>16</v>
      </c>
      <c r="K17" s="25">
        <v>128.25800000000001</v>
      </c>
      <c r="L17" s="25">
        <v>0.62209999999999999</v>
      </c>
      <c r="M17" s="25">
        <v>0.53849999999999998</v>
      </c>
      <c r="N17" s="25">
        <v>0.51480000000000004</v>
      </c>
      <c r="O17" s="25">
        <v>6182.91</v>
      </c>
      <c r="P17" s="25">
        <v>6175.82</v>
      </c>
      <c r="Q17" s="25">
        <v>6173.46</v>
      </c>
      <c r="R17" s="25">
        <v>6171.15</v>
      </c>
      <c r="S17" s="25">
        <v>5732.17</v>
      </c>
      <c r="T17" s="25">
        <v>5731.49</v>
      </c>
      <c r="U17" s="25">
        <v>5731.22</v>
      </c>
      <c r="V17" s="25">
        <v>5730.99</v>
      </c>
      <c r="W17" s="25">
        <v>0</v>
      </c>
      <c r="X17" s="25">
        <v>0</v>
      </c>
      <c r="Y17" s="25">
        <v>0</v>
      </c>
      <c r="Z17" s="25">
        <v>0</v>
      </c>
      <c r="AA17" s="25">
        <v>0</v>
      </c>
      <c r="AB17" s="25">
        <v>0</v>
      </c>
      <c r="AC17" s="25">
        <v>0</v>
      </c>
      <c r="AD17" s="25">
        <v>0</v>
      </c>
      <c r="AE17" s="25">
        <v>0</v>
      </c>
      <c r="AF17" s="25">
        <v>0</v>
      </c>
      <c r="AG17" s="25">
        <v>0</v>
      </c>
      <c r="AH17" s="25">
        <v>0</v>
      </c>
      <c r="AI17" s="25">
        <v>0</v>
      </c>
      <c r="AJ17" s="25">
        <v>0</v>
      </c>
      <c r="AK17" s="25">
        <v>0</v>
      </c>
      <c r="AL17" s="25">
        <v>0</v>
      </c>
      <c r="AM17" s="25">
        <v>6996.5</v>
      </c>
      <c r="AN17" s="25">
        <v>0.1331</v>
      </c>
      <c r="AO17" s="25">
        <v>261.19</v>
      </c>
      <c r="AP17" s="25">
        <v>5.16E-2</v>
      </c>
      <c r="AQ17" s="25" t="e" cm="1">
        <f t="array" aca="1" ref="AQ17" ca="1">VBAProject.LinearInt.lin_int(CONVERT(60,"F","C"),15,20,M17,N17)</f>
        <v>#NAME?</v>
      </c>
      <c r="AR17" s="25" t="e" cm="1">
        <f t="array" aca="1" ref="AR17" ca="1">VBAProject.LinearInt.lin_int(CONVERT(60,"F","C"),15,20,P17,Q17)</f>
        <v>#NAME?</v>
      </c>
    </row>
    <row r="18" spans="1:44" x14ac:dyDescent="0.25">
      <c r="A18" s="25">
        <f t="shared" si="0"/>
        <v>17</v>
      </c>
      <c r="B18" s="25" t="s">
        <v>185</v>
      </c>
      <c r="C18" s="75" t="s">
        <v>186</v>
      </c>
      <c r="D18" s="75" t="s">
        <v>31</v>
      </c>
      <c r="E18" s="75" t="s">
        <v>187</v>
      </c>
      <c r="F18" s="75" t="s">
        <v>188</v>
      </c>
      <c r="G18" s="75" t="s">
        <v>16</v>
      </c>
      <c r="H18" s="75" t="s">
        <v>16</v>
      </c>
      <c r="I18" s="75" t="s">
        <v>16</v>
      </c>
      <c r="J18" s="75" t="s">
        <v>16</v>
      </c>
      <c r="K18" s="25">
        <v>142.285</v>
      </c>
      <c r="L18" s="25">
        <v>0.75229999999999997</v>
      </c>
      <c r="M18" s="25">
        <v>0.64500000000000002</v>
      </c>
      <c r="N18" s="25">
        <v>0.61399999999999999</v>
      </c>
      <c r="O18" s="25">
        <v>6842.69</v>
      </c>
      <c r="P18" s="25">
        <v>6834.9</v>
      </c>
      <c r="Q18" s="25">
        <v>6832.31</v>
      </c>
      <c r="R18" s="25">
        <v>6829.77</v>
      </c>
      <c r="S18" s="25">
        <v>6346.88</v>
      </c>
      <c r="T18" s="25">
        <v>6346.14</v>
      </c>
      <c r="U18" s="25">
        <v>6345.85</v>
      </c>
      <c r="V18" s="25">
        <v>6345.59</v>
      </c>
      <c r="W18" s="25">
        <v>0</v>
      </c>
      <c r="X18" s="25">
        <v>0</v>
      </c>
      <c r="Y18" s="25">
        <v>0</v>
      </c>
      <c r="Z18" s="25">
        <v>0</v>
      </c>
      <c r="AA18" s="25">
        <v>0</v>
      </c>
      <c r="AB18" s="25">
        <v>0</v>
      </c>
      <c r="AC18" s="25">
        <v>0</v>
      </c>
      <c r="AD18" s="25">
        <v>0</v>
      </c>
      <c r="AE18" s="25">
        <v>0</v>
      </c>
      <c r="AF18" s="25">
        <v>0</v>
      </c>
      <c r="AG18" s="25">
        <v>0</v>
      </c>
      <c r="AH18" s="25">
        <v>0</v>
      </c>
      <c r="AI18" s="25">
        <v>0</v>
      </c>
      <c r="AJ18" s="25">
        <v>0</v>
      </c>
      <c r="AK18" s="25">
        <v>0</v>
      </c>
      <c r="AL18" s="25">
        <v>0</v>
      </c>
      <c r="AM18" s="25">
        <v>7743</v>
      </c>
      <c r="AN18" s="25">
        <v>0.15160000000000001</v>
      </c>
      <c r="AO18" s="25">
        <v>289.06</v>
      </c>
      <c r="AP18" s="25">
        <v>5.8000000000000003E-2</v>
      </c>
      <c r="AQ18" s="25" t="e" cm="1">
        <f t="array" aca="1" ref="AQ18" ca="1">VBAProject.LinearInt.lin_int(CONVERT(60,"F","C"),15,20,M18,N18)</f>
        <v>#NAME?</v>
      </c>
      <c r="AR18" s="25" t="e" cm="1">
        <f t="array" aca="1" ref="AR18" ca="1">VBAProject.LinearInt.lin_int(CONVERT(60,"F","C"),15,20,P18,Q18)</f>
        <v>#NAME?</v>
      </c>
    </row>
    <row r="19" spans="1:44" x14ac:dyDescent="0.25">
      <c r="A19" s="25">
        <f t="shared" si="0"/>
        <v>18</v>
      </c>
      <c r="B19" s="25" t="s">
        <v>189</v>
      </c>
      <c r="C19" s="75" t="s">
        <v>190</v>
      </c>
      <c r="D19" s="75" t="s">
        <v>189</v>
      </c>
      <c r="E19" s="75" t="s">
        <v>191</v>
      </c>
      <c r="F19" s="75" t="s">
        <v>192</v>
      </c>
      <c r="G19" s="75" t="s">
        <v>193</v>
      </c>
      <c r="H19" s="75" t="s">
        <v>194</v>
      </c>
      <c r="I19" s="75" t="s">
        <v>195</v>
      </c>
      <c r="J19" s="75" t="s">
        <v>16</v>
      </c>
      <c r="K19" s="25">
        <v>28.053999999999998</v>
      </c>
      <c r="L19" s="25">
        <v>8.6599999999999996E-2</v>
      </c>
      <c r="M19" s="25">
        <v>0.08</v>
      </c>
      <c r="N19" s="25">
        <v>7.7499999999999999E-2</v>
      </c>
      <c r="O19" s="25">
        <v>1413.51</v>
      </c>
      <c r="P19" s="25">
        <v>1412.11</v>
      </c>
      <c r="Q19" s="25">
        <v>1411.65</v>
      </c>
      <c r="R19" s="25">
        <v>1411.18</v>
      </c>
      <c r="S19" s="25">
        <v>1323.36</v>
      </c>
      <c r="T19" s="25">
        <v>1323.24</v>
      </c>
      <c r="U19" s="25">
        <v>1323.2</v>
      </c>
      <c r="V19" s="25">
        <v>1323.15</v>
      </c>
      <c r="W19" s="25">
        <v>502.8</v>
      </c>
      <c r="X19" s="25">
        <v>1.0900000000000001</v>
      </c>
      <c r="Y19" s="25">
        <v>7000</v>
      </c>
      <c r="Z19" s="25">
        <v>44</v>
      </c>
      <c r="AA19" s="25">
        <v>0</v>
      </c>
      <c r="AB19" s="25">
        <v>0</v>
      </c>
      <c r="AC19" s="25">
        <v>0</v>
      </c>
      <c r="AD19" s="25">
        <v>0</v>
      </c>
      <c r="AE19" s="25">
        <v>0</v>
      </c>
      <c r="AF19" s="25">
        <v>0</v>
      </c>
      <c r="AG19" s="25">
        <v>0</v>
      </c>
      <c r="AH19" s="25">
        <v>0</v>
      </c>
      <c r="AI19" s="25">
        <v>0</v>
      </c>
      <c r="AJ19" s="25">
        <v>0</v>
      </c>
      <c r="AK19" s="25">
        <v>0</v>
      </c>
      <c r="AL19" s="25">
        <v>0</v>
      </c>
      <c r="AM19" s="26">
        <v>1599.7787731630144</v>
      </c>
      <c r="AN19" s="25"/>
      <c r="AO19" s="26">
        <v>59.72</v>
      </c>
      <c r="AP19" s="25"/>
      <c r="AQ19" s="25" t="e" cm="1">
        <f t="array" aca="1" ref="AQ19" ca="1">VBAProject.LinearInt.lin_int(CONVERT(60,"F","C"),15,20,M19,N19)</f>
        <v>#NAME?</v>
      </c>
      <c r="AR19" s="25" t="e" cm="1">
        <f t="array" aca="1" ref="AR19" ca="1">VBAProject.LinearInt.lin_int(CONVERT(60,"F","C"),15,20,P19,Q19)</f>
        <v>#NAME?</v>
      </c>
    </row>
    <row r="20" spans="1:44" x14ac:dyDescent="0.25">
      <c r="A20" s="25">
        <f t="shared" si="0"/>
        <v>19</v>
      </c>
      <c r="B20" s="25" t="s">
        <v>196</v>
      </c>
      <c r="C20" s="75" t="s">
        <v>197</v>
      </c>
      <c r="D20" s="75" t="s">
        <v>196</v>
      </c>
      <c r="E20" s="75" t="s">
        <v>198</v>
      </c>
      <c r="F20" s="75" t="s">
        <v>199</v>
      </c>
      <c r="G20" s="75" t="s">
        <v>200</v>
      </c>
      <c r="H20" s="75" t="s">
        <v>16</v>
      </c>
      <c r="I20" s="75" t="s">
        <v>16</v>
      </c>
      <c r="J20" s="75" t="s">
        <v>16</v>
      </c>
      <c r="K20" s="25">
        <v>42.081000000000003</v>
      </c>
      <c r="L20" s="25">
        <v>0.13780000000000001</v>
      </c>
      <c r="M20" s="25">
        <v>0.1265</v>
      </c>
      <c r="N20" s="25">
        <v>0.1225</v>
      </c>
      <c r="O20" s="25">
        <v>2061.5700000000002</v>
      </c>
      <c r="P20" s="25">
        <v>2059.4299999999998</v>
      </c>
      <c r="Q20" s="25">
        <v>2058.7199999999998</v>
      </c>
      <c r="R20" s="25">
        <v>2058.02</v>
      </c>
      <c r="S20" s="25">
        <v>1926.35</v>
      </c>
      <c r="T20" s="25">
        <v>1926.13</v>
      </c>
      <c r="U20" s="25">
        <v>1926.05</v>
      </c>
      <c r="V20" s="25">
        <v>1925.97</v>
      </c>
      <c r="W20" s="25">
        <v>601.20000000000005</v>
      </c>
      <c r="X20" s="25">
        <v>1.02</v>
      </c>
      <c r="Y20" s="25">
        <v>7000</v>
      </c>
      <c r="Z20" s="25">
        <v>126</v>
      </c>
      <c r="AA20" s="25">
        <v>8.0519999999999994E-2</v>
      </c>
      <c r="AB20" s="25">
        <v>8.1883999999999998E-2</v>
      </c>
      <c r="AC20" s="25">
        <v>8.0692E-2</v>
      </c>
      <c r="AD20" s="25">
        <v>0</v>
      </c>
      <c r="AE20" s="25">
        <v>0</v>
      </c>
      <c r="AF20" s="25">
        <v>0</v>
      </c>
      <c r="AG20" s="25">
        <v>0</v>
      </c>
      <c r="AH20" s="25">
        <v>0</v>
      </c>
      <c r="AI20" s="25">
        <v>0</v>
      </c>
      <c r="AJ20" s="25">
        <v>0</v>
      </c>
      <c r="AK20" s="25">
        <v>0</v>
      </c>
      <c r="AL20" s="25">
        <v>0</v>
      </c>
      <c r="AM20" s="26">
        <v>2333.1224537682424</v>
      </c>
      <c r="AN20" s="25"/>
      <c r="AO20" s="26">
        <v>87.1</v>
      </c>
      <c r="AP20" s="25"/>
      <c r="AQ20" s="25" t="e" cm="1">
        <f t="array" aca="1" ref="AQ20" ca="1">VBAProject.LinearInt.lin_int(CONVERT(60,"F","C"),15,20,M20,N20)</f>
        <v>#NAME?</v>
      </c>
      <c r="AR20" s="25" t="e" cm="1">
        <f t="array" aca="1" ref="AR20" ca="1">VBAProject.LinearInt.lin_int(CONVERT(60,"F","C"),15,20,P20,Q20)</f>
        <v>#NAME?</v>
      </c>
    </row>
    <row r="21" spans="1:44" x14ac:dyDescent="0.25">
      <c r="A21" s="25">
        <f t="shared" si="0"/>
        <v>20</v>
      </c>
      <c r="B21" s="25" t="s">
        <v>201</v>
      </c>
      <c r="C21" s="75" t="s">
        <v>202</v>
      </c>
      <c r="D21" s="75" t="s">
        <v>203</v>
      </c>
      <c r="E21" s="75" t="s">
        <v>204</v>
      </c>
      <c r="F21" s="75" t="s">
        <v>205</v>
      </c>
      <c r="G21" s="75" t="s">
        <v>206</v>
      </c>
      <c r="H21" s="75" t="s">
        <v>16</v>
      </c>
      <c r="I21" s="75" t="s">
        <v>16</v>
      </c>
      <c r="J21" s="75" t="s">
        <v>16</v>
      </c>
      <c r="K21" s="25">
        <v>56.107999999999997</v>
      </c>
      <c r="L21" s="25">
        <v>0.18709999999999999</v>
      </c>
      <c r="M21" s="25">
        <v>0.17319999999999999</v>
      </c>
      <c r="N21" s="25">
        <v>0.1673</v>
      </c>
      <c r="O21" s="25">
        <v>2721.55</v>
      </c>
      <c r="P21" s="25">
        <v>2718.7</v>
      </c>
      <c r="Q21" s="25">
        <v>2717.75</v>
      </c>
      <c r="R21" s="25">
        <v>2716.82</v>
      </c>
      <c r="S21" s="25">
        <v>2541.25</v>
      </c>
      <c r="T21" s="25">
        <v>2540.9699999999998</v>
      </c>
      <c r="U21" s="25">
        <v>2540.86</v>
      </c>
      <c r="V21" s="25">
        <v>2540.7600000000002</v>
      </c>
      <c r="W21" s="25">
        <v>657.4</v>
      </c>
      <c r="X21" s="25">
        <v>0.97</v>
      </c>
      <c r="Y21" s="25">
        <v>7000</v>
      </c>
      <c r="Z21" s="25">
        <v>180</v>
      </c>
      <c r="AA21" s="25">
        <v>9.3294000000000002E-2</v>
      </c>
      <c r="AB21" s="25">
        <v>9.4282000000000005E-2</v>
      </c>
      <c r="AC21" s="25">
        <v>9.3400999999999998E-2</v>
      </c>
      <c r="AD21" s="25">
        <v>0</v>
      </c>
      <c r="AE21" s="25">
        <v>0</v>
      </c>
      <c r="AF21" s="25">
        <v>0</v>
      </c>
      <c r="AG21" s="25">
        <v>0</v>
      </c>
      <c r="AH21" s="25">
        <v>0</v>
      </c>
      <c r="AI21" s="25">
        <v>0</v>
      </c>
      <c r="AJ21" s="25">
        <v>0</v>
      </c>
      <c r="AK21" s="25">
        <v>0</v>
      </c>
      <c r="AL21" s="25">
        <v>0</v>
      </c>
      <c r="AM21" s="26">
        <v>3080.0060061943245</v>
      </c>
      <c r="AN21" s="25"/>
      <c r="AO21" s="26">
        <v>114.98</v>
      </c>
      <c r="AP21" s="25"/>
      <c r="AQ21" s="25" t="e" cm="1">
        <f t="array" aca="1" ref="AQ21" ca="1">VBAProject.LinearInt.lin_int(CONVERT(60,"F","C"),15,20,M21,N21)</f>
        <v>#NAME?</v>
      </c>
      <c r="AR21" s="25" t="e" cm="1">
        <f t="array" aca="1" ref="AR21" ca="1">VBAProject.LinearInt.lin_int(CONVERT(60,"F","C"),15,20,P21,Q21)</f>
        <v>#NAME?</v>
      </c>
    </row>
    <row r="22" spans="1:44" x14ac:dyDescent="0.25">
      <c r="A22" s="25">
        <f t="shared" si="0"/>
        <v>21</v>
      </c>
      <c r="B22" s="25" t="s">
        <v>207</v>
      </c>
      <c r="C22" s="75" t="s">
        <v>202</v>
      </c>
      <c r="D22" s="75" t="s">
        <v>207</v>
      </c>
      <c r="E22" s="75" t="s">
        <v>208</v>
      </c>
      <c r="F22" s="75" t="s">
        <v>209</v>
      </c>
      <c r="G22" s="75" t="s">
        <v>210</v>
      </c>
      <c r="H22" s="75" t="s">
        <v>211</v>
      </c>
      <c r="I22" s="75" t="s">
        <v>16</v>
      </c>
      <c r="J22" s="75" t="s">
        <v>16</v>
      </c>
      <c r="K22" s="25">
        <v>56.107999999999997</v>
      </c>
      <c r="L22" s="25">
        <v>0.19750000000000001</v>
      </c>
      <c r="M22" s="25">
        <v>0.1817</v>
      </c>
      <c r="N22" s="25">
        <v>0.17610000000000001</v>
      </c>
      <c r="O22" s="25">
        <v>2714.9</v>
      </c>
      <c r="P22" s="25">
        <v>2711.9</v>
      </c>
      <c r="Q22" s="25">
        <v>2711</v>
      </c>
      <c r="R22" s="25">
        <v>2710</v>
      </c>
      <c r="S22" s="25">
        <v>2534.6</v>
      </c>
      <c r="T22" s="25">
        <v>2534.1999999999998</v>
      </c>
      <c r="U22" s="25">
        <v>2534.1</v>
      </c>
      <c r="V22" s="25">
        <v>2533.9</v>
      </c>
      <c r="W22" s="25">
        <v>0</v>
      </c>
      <c r="X22" s="25">
        <v>0</v>
      </c>
      <c r="Y22" s="25">
        <v>0</v>
      </c>
      <c r="Z22" s="25">
        <v>0</v>
      </c>
      <c r="AA22" s="25">
        <v>0</v>
      </c>
      <c r="AB22" s="25">
        <v>0</v>
      </c>
      <c r="AC22" s="25">
        <v>0</v>
      </c>
      <c r="AD22" s="25">
        <v>0</v>
      </c>
      <c r="AE22" s="25">
        <v>0</v>
      </c>
      <c r="AF22" s="25">
        <v>0</v>
      </c>
      <c r="AG22" s="25">
        <v>0</v>
      </c>
      <c r="AH22" s="25">
        <v>0</v>
      </c>
      <c r="AI22" s="25">
        <v>0</v>
      </c>
      <c r="AJ22" s="25">
        <v>0</v>
      </c>
      <c r="AK22" s="25">
        <v>0</v>
      </c>
      <c r="AL22" s="25">
        <v>0</v>
      </c>
      <c r="AM22" s="26">
        <v>3072.3082131996739</v>
      </c>
      <c r="AN22" s="25"/>
      <c r="AO22" s="26">
        <v>114.69</v>
      </c>
      <c r="AP22" s="25"/>
      <c r="AQ22" s="25" t="e" cm="1">
        <f t="array" aca="1" ref="AQ22" ca="1">VBAProject.LinearInt.lin_int(CONVERT(60,"F","C"),15,20,M22,N22)</f>
        <v>#NAME?</v>
      </c>
      <c r="AR22" s="25" t="e" cm="1">
        <f t="array" aca="1" ref="AR22" ca="1">VBAProject.LinearInt.lin_int(CONVERT(60,"F","C"),15,20,P22,Q22)</f>
        <v>#NAME?</v>
      </c>
    </row>
    <row r="23" spans="1:44" x14ac:dyDescent="0.25">
      <c r="A23" s="25">
        <f t="shared" si="0"/>
        <v>22</v>
      </c>
      <c r="B23" s="25" t="s">
        <v>212</v>
      </c>
      <c r="C23" s="75" t="s">
        <v>202</v>
      </c>
      <c r="D23" s="75" t="s">
        <v>212</v>
      </c>
      <c r="E23" s="75" t="s">
        <v>16</v>
      </c>
      <c r="F23" s="75" t="s">
        <v>16</v>
      </c>
      <c r="G23" s="75" t="s">
        <v>16</v>
      </c>
      <c r="H23" s="75" t="s">
        <v>16</v>
      </c>
      <c r="I23" s="75" t="s">
        <v>16</v>
      </c>
      <c r="J23" s="75" t="s">
        <v>16</v>
      </c>
      <c r="K23" s="25">
        <v>56.107999999999997</v>
      </c>
      <c r="L23" s="25">
        <v>0.19750000000000001</v>
      </c>
      <c r="M23" s="25">
        <v>0.1789</v>
      </c>
      <c r="N23" s="25">
        <v>0.17610000000000001</v>
      </c>
      <c r="O23" s="25">
        <v>2711.1</v>
      </c>
      <c r="P23" s="25">
        <v>2708.3</v>
      </c>
      <c r="Q23" s="25">
        <v>2707.4</v>
      </c>
      <c r="R23" s="25">
        <v>2706.4</v>
      </c>
      <c r="S23" s="25">
        <v>2530.8000000000002</v>
      </c>
      <c r="T23" s="25">
        <v>2530.5</v>
      </c>
      <c r="U23" s="25">
        <v>2530.5</v>
      </c>
      <c r="V23" s="25">
        <v>2530.3000000000002</v>
      </c>
      <c r="W23" s="25">
        <v>0</v>
      </c>
      <c r="X23" s="25">
        <v>0</v>
      </c>
      <c r="Y23" s="25">
        <v>0</v>
      </c>
      <c r="Z23" s="25">
        <v>0</v>
      </c>
      <c r="AA23" s="25">
        <v>0</v>
      </c>
      <c r="AB23" s="25">
        <v>0</v>
      </c>
      <c r="AC23" s="25">
        <v>0</v>
      </c>
      <c r="AD23" s="25">
        <v>0</v>
      </c>
      <c r="AE23" s="25">
        <v>0</v>
      </c>
      <c r="AF23" s="25">
        <v>0</v>
      </c>
      <c r="AG23" s="25">
        <v>0</v>
      </c>
      <c r="AH23" s="25">
        <v>0</v>
      </c>
      <c r="AI23" s="25">
        <v>0</v>
      </c>
      <c r="AJ23" s="25">
        <v>0</v>
      </c>
      <c r="AK23" s="25">
        <v>0</v>
      </c>
      <c r="AL23" s="25">
        <v>0</v>
      </c>
      <c r="AM23" s="26">
        <v>3068.2296294647963</v>
      </c>
      <c r="AN23" s="25"/>
      <c r="AO23" s="26">
        <v>114.54</v>
      </c>
      <c r="AP23" s="25"/>
      <c r="AQ23" s="25" t="e" cm="1">
        <f t="array" aca="1" ref="AQ23" ca="1">VBAProject.LinearInt.lin_int(CONVERT(60,"F","C"),15,20,M23,N23)</f>
        <v>#NAME?</v>
      </c>
      <c r="AR23" s="25" t="e" cm="1">
        <f t="array" aca="1" ref="AR23" ca="1">VBAProject.LinearInt.lin_int(CONVERT(60,"F","C"),15,20,P23,Q23)</f>
        <v>#NAME?</v>
      </c>
    </row>
    <row r="24" spans="1:44" x14ac:dyDescent="0.25">
      <c r="A24" s="25">
        <f t="shared" si="0"/>
        <v>23</v>
      </c>
      <c r="B24" s="25" t="s">
        <v>213</v>
      </c>
      <c r="C24" s="75" t="s">
        <v>202</v>
      </c>
      <c r="D24" s="75" t="s">
        <v>213</v>
      </c>
      <c r="E24" s="76" t="s">
        <v>214</v>
      </c>
      <c r="F24" s="75" t="s">
        <v>16</v>
      </c>
      <c r="G24" s="75" t="s">
        <v>16</v>
      </c>
      <c r="H24" s="75" t="s">
        <v>16</v>
      </c>
      <c r="I24" s="75" t="s">
        <v>16</v>
      </c>
      <c r="J24" s="75" t="s">
        <v>16</v>
      </c>
      <c r="K24" s="25">
        <v>56.107999999999997</v>
      </c>
      <c r="L24" s="25">
        <v>0.18709999999999999</v>
      </c>
      <c r="M24" s="25">
        <v>0.17030000000000001</v>
      </c>
      <c r="N24" s="25">
        <v>0.1673</v>
      </c>
      <c r="O24" s="25">
        <v>2704.8</v>
      </c>
      <c r="P24" s="25">
        <v>2702</v>
      </c>
      <c r="Q24" s="25">
        <v>2701.1</v>
      </c>
      <c r="R24" s="25">
        <v>2700.2</v>
      </c>
      <c r="S24" s="25">
        <v>2524.5</v>
      </c>
      <c r="T24" s="25">
        <v>2524.3000000000002</v>
      </c>
      <c r="U24" s="25">
        <v>2524.1999999999998</v>
      </c>
      <c r="V24" s="25">
        <v>2524.1</v>
      </c>
      <c r="W24" s="25">
        <v>0</v>
      </c>
      <c r="X24" s="25">
        <v>0</v>
      </c>
      <c r="Y24" s="25">
        <v>0</v>
      </c>
      <c r="Z24" s="25">
        <v>0</v>
      </c>
      <c r="AA24" s="25">
        <v>0</v>
      </c>
      <c r="AB24" s="25">
        <v>0</v>
      </c>
      <c r="AC24" s="25">
        <v>0</v>
      </c>
      <c r="AD24" s="25">
        <v>0</v>
      </c>
      <c r="AE24" s="25">
        <v>0</v>
      </c>
      <c r="AF24" s="25">
        <v>0</v>
      </c>
      <c r="AG24" s="25">
        <v>0</v>
      </c>
      <c r="AH24" s="25">
        <v>0</v>
      </c>
      <c r="AI24" s="25">
        <v>0</v>
      </c>
      <c r="AJ24" s="25">
        <v>0</v>
      </c>
      <c r="AK24" s="25">
        <v>0</v>
      </c>
      <c r="AL24" s="25">
        <v>0</v>
      </c>
      <c r="AM24" s="26">
        <v>3061.0921079287614</v>
      </c>
      <c r="AN24" s="25"/>
      <c r="AO24" s="26">
        <v>114.27</v>
      </c>
      <c r="AP24" s="25"/>
      <c r="AQ24" s="25" t="e" cm="1">
        <f t="array" aca="1" ref="AQ24" ca="1">VBAProject.LinearInt.lin_int(CONVERT(60,"F","C"),15,20,M24,N24)</f>
        <v>#NAME?</v>
      </c>
      <c r="AR24" s="25" t="e" cm="1">
        <f t="array" aca="1" ref="AR24" ca="1">VBAProject.LinearInt.lin_int(CONVERT(60,"F","C"),15,20,P24,Q24)</f>
        <v>#NAME?</v>
      </c>
    </row>
    <row r="25" spans="1:44" x14ac:dyDescent="0.25">
      <c r="A25" s="25">
        <f t="shared" si="0"/>
        <v>24</v>
      </c>
      <c r="B25" s="25" t="s">
        <v>215</v>
      </c>
      <c r="C25" s="75" t="s">
        <v>216</v>
      </c>
      <c r="D25" s="75" t="s">
        <v>215</v>
      </c>
      <c r="E25" s="75" t="s">
        <v>217</v>
      </c>
      <c r="F25" s="75" t="s">
        <v>218</v>
      </c>
      <c r="G25" s="75" t="s">
        <v>219</v>
      </c>
      <c r="H25" s="75" t="s">
        <v>220</v>
      </c>
      <c r="I25" s="75" t="s">
        <v>16</v>
      </c>
      <c r="J25" s="75" t="s">
        <v>16</v>
      </c>
      <c r="K25" s="25">
        <v>70.134</v>
      </c>
      <c r="L25" s="25">
        <v>0.249</v>
      </c>
      <c r="M25" s="25">
        <v>0.2258</v>
      </c>
      <c r="N25" s="25">
        <v>0.21909999999999999</v>
      </c>
      <c r="O25" s="25">
        <v>3381.29</v>
      </c>
      <c r="P25" s="25">
        <v>3377.75</v>
      </c>
      <c r="Q25" s="25">
        <v>3376.57</v>
      </c>
      <c r="R25" s="25">
        <v>3375.42</v>
      </c>
      <c r="S25" s="25">
        <v>3155.92</v>
      </c>
      <c r="T25" s="25">
        <v>3155.59</v>
      </c>
      <c r="U25" s="25">
        <v>3155.45</v>
      </c>
      <c r="V25" s="25">
        <v>3155.34</v>
      </c>
      <c r="W25" s="25">
        <v>0</v>
      </c>
      <c r="X25" s="25">
        <v>0</v>
      </c>
      <c r="Y25" s="25">
        <v>0</v>
      </c>
      <c r="Z25" s="25">
        <v>0</v>
      </c>
      <c r="AA25" s="25">
        <v>0</v>
      </c>
      <c r="AB25" s="25">
        <v>0</v>
      </c>
      <c r="AC25" s="25">
        <v>0</v>
      </c>
      <c r="AD25" s="25">
        <v>0</v>
      </c>
      <c r="AE25" s="25">
        <v>0</v>
      </c>
      <c r="AF25" s="25">
        <v>0</v>
      </c>
      <c r="AG25" s="25">
        <v>0</v>
      </c>
      <c r="AH25" s="25">
        <v>0</v>
      </c>
      <c r="AI25" s="25">
        <v>0</v>
      </c>
      <c r="AJ25" s="25">
        <v>0</v>
      </c>
      <c r="AK25" s="25">
        <v>0</v>
      </c>
      <c r="AL25" s="25">
        <v>0</v>
      </c>
      <c r="AM25" s="26">
        <v>3826.6415515375206</v>
      </c>
      <c r="AN25" s="25"/>
      <c r="AO25" s="26">
        <v>142.85</v>
      </c>
      <c r="AP25" s="25"/>
      <c r="AQ25" s="25" t="e" cm="1">
        <f t="array" aca="1" ref="AQ25" ca="1">VBAProject.LinearInt.lin_int(CONVERT(60,"F","C"),15,20,M25,N25)</f>
        <v>#NAME?</v>
      </c>
      <c r="AR25" s="25" t="e" cm="1">
        <f t="array" aca="1" ref="AR25" ca="1">VBAProject.LinearInt.lin_int(CONVERT(60,"F","C"),15,20,P25,Q25)</f>
        <v>#NAME?</v>
      </c>
    </row>
    <row r="26" spans="1:44" x14ac:dyDescent="0.25">
      <c r="A26" s="25">
        <f t="shared" si="0"/>
        <v>25</v>
      </c>
      <c r="B26" s="25" t="s">
        <v>221</v>
      </c>
      <c r="C26" s="75" t="s">
        <v>222</v>
      </c>
      <c r="D26" s="75" t="s">
        <v>221</v>
      </c>
      <c r="E26" s="75" t="s">
        <v>223</v>
      </c>
      <c r="F26" s="75" t="s">
        <v>224</v>
      </c>
      <c r="G26" s="75" t="s">
        <v>225</v>
      </c>
      <c r="H26" s="75" t="s">
        <v>16</v>
      </c>
      <c r="I26" s="75" t="s">
        <v>16</v>
      </c>
      <c r="J26" s="75" t="s">
        <v>16</v>
      </c>
      <c r="K26" s="25">
        <v>40.064999999999998</v>
      </c>
      <c r="L26" s="25">
        <v>0.1414</v>
      </c>
      <c r="M26" s="25">
        <v>0.13039999999999999</v>
      </c>
      <c r="N26" s="25">
        <v>0.1265</v>
      </c>
      <c r="O26" s="25">
        <v>1945.25</v>
      </c>
      <c r="P26" s="25">
        <v>1943.96</v>
      </c>
      <c r="Q26" s="25">
        <v>1943.53</v>
      </c>
      <c r="R26" s="25">
        <v>1943.11</v>
      </c>
      <c r="S26" s="25">
        <v>1855.1</v>
      </c>
      <c r="T26" s="25">
        <v>1855.09</v>
      </c>
      <c r="U26" s="25">
        <v>1855.08</v>
      </c>
      <c r="V26" s="25">
        <v>1855.08</v>
      </c>
      <c r="W26" s="25">
        <v>0</v>
      </c>
      <c r="X26" s="25">
        <v>0</v>
      </c>
      <c r="Y26" s="25">
        <v>0</v>
      </c>
      <c r="Z26" s="25">
        <v>0</v>
      </c>
      <c r="AA26" s="25">
        <v>0</v>
      </c>
      <c r="AB26" s="25">
        <v>0</v>
      </c>
      <c r="AC26" s="25">
        <v>0</v>
      </c>
      <c r="AD26" s="25">
        <v>0</v>
      </c>
      <c r="AE26" s="25">
        <v>0</v>
      </c>
      <c r="AF26" s="25">
        <v>0</v>
      </c>
      <c r="AG26" s="25">
        <v>0</v>
      </c>
      <c r="AH26" s="25">
        <v>0</v>
      </c>
      <c r="AI26" s="25">
        <v>0</v>
      </c>
      <c r="AJ26" s="25">
        <v>0</v>
      </c>
      <c r="AK26" s="25">
        <v>0</v>
      </c>
      <c r="AL26" s="25">
        <v>0</v>
      </c>
      <c r="AM26" s="26">
        <v>2202.3365920975939</v>
      </c>
      <c r="AN26" s="25"/>
      <c r="AO26" s="26">
        <v>82.21</v>
      </c>
      <c r="AP26" s="25"/>
      <c r="AQ26" s="25" t="e" cm="1">
        <f t="array" aca="1" ref="AQ26" ca="1">VBAProject.LinearInt.lin_int(CONVERT(60,"F","C"),15,20,M26,N26)</f>
        <v>#NAME?</v>
      </c>
      <c r="AR26" s="25" t="e" cm="1">
        <f t="array" aca="1" ref="AR26" ca="1">VBAProject.LinearInt.lin_int(CONVERT(60,"F","C"),15,20,P26,Q26)</f>
        <v>#NAME?</v>
      </c>
    </row>
    <row r="27" spans="1:44" x14ac:dyDescent="0.25">
      <c r="A27" s="25">
        <f t="shared" si="0"/>
        <v>26</v>
      </c>
      <c r="B27" s="25" t="s">
        <v>226</v>
      </c>
      <c r="C27" s="75" t="s">
        <v>227</v>
      </c>
      <c r="D27" s="75" t="s">
        <v>226</v>
      </c>
      <c r="E27" s="75" t="s">
        <v>228</v>
      </c>
      <c r="F27" s="75" t="s">
        <v>229</v>
      </c>
      <c r="G27" s="75" t="s">
        <v>230</v>
      </c>
      <c r="H27" s="75" t="s">
        <v>16</v>
      </c>
      <c r="I27" s="75" t="s">
        <v>16</v>
      </c>
      <c r="J27" s="75" t="s">
        <v>16</v>
      </c>
      <c r="K27" s="25">
        <v>54.091999999999999</v>
      </c>
      <c r="L27" s="25">
        <v>0.21210000000000001</v>
      </c>
      <c r="M27" s="25">
        <v>0.19239999999999999</v>
      </c>
      <c r="N27" s="25">
        <v>0.18709999999999999</v>
      </c>
      <c r="O27" s="25">
        <v>2597.13</v>
      </c>
      <c r="P27" s="25">
        <v>2595.12</v>
      </c>
      <c r="Q27" s="25">
        <v>2594.4499999999998</v>
      </c>
      <c r="R27" s="25">
        <v>2593.79</v>
      </c>
      <c r="S27" s="25">
        <v>2461.91</v>
      </c>
      <c r="T27" s="25">
        <v>2461.8200000000002</v>
      </c>
      <c r="U27" s="25">
        <v>2461.7800000000002</v>
      </c>
      <c r="V27" s="25">
        <v>2461.7399999999998</v>
      </c>
      <c r="W27" s="25">
        <v>0</v>
      </c>
      <c r="X27" s="25">
        <v>0</v>
      </c>
      <c r="Y27" s="25">
        <v>0</v>
      </c>
      <c r="Z27" s="25">
        <v>0</v>
      </c>
      <c r="AA27" s="25">
        <v>0</v>
      </c>
      <c r="AB27" s="25">
        <v>0</v>
      </c>
      <c r="AC27" s="25">
        <v>0</v>
      </c>
      <c r="AD27" s="25">
        <v>0</v>
      </c>
      <c r="AE27" s="25">
        <v>0</v>
      </c>
      <c r="AF27" s="25">
        <v>0</v>
      </c>
      <c r="AG27" s="25">
        <v>0</v>
      </c>
      <c r="AH27" s="25">
        <v>0</v>
      </c>
      <c r="AI27" s="25">
        <v>0</v>
      </c>
      <c r="AJ27" s="25">
        <v>0</v>
      </c>
      <c r="AK27" s="25">
        <v>0</v>
      </c>
      <c r="AL27" s="25">
        <v>0</v>
      </c>
      <c r="AM27" s="26">
        <v>2940.0320017209378</v>
      </c>
      <c r="AN27" s="25"/>
      <c r="AO27" s="26">
        <v>109.75</v>
      </c>
      <c r="AP27" s="25"/>
      <c r="AQ27" s="25" t="e" cm="1">
        <f t="array" aca="1" ref="AQ27" ca="1">VBAProject.LinearInt.lin_int(CONVERT(60,"F","C"),15,20,M27,N27)</f>
        <v>#NAME?</v>
      </c>
      <c r="AR27" s="25" t="e" cm="1">
        <f t="array" aca="1" ref="AR27" ca="1">VBAProject.LinearInt.lin_int(CONVERT(60,"F","C"),15,20,P27,Q27)</f>
        <v>#NAME?</v>
      </c>
    </row>
    <row r="28" spans="1:44" x14ac:dyDescent="0.25">
      <c r="A28" s="25">
        <f t="shared" si="0"/>
        <v>27</v>
      </c>
      <c r="B28" s="25" t="s">
        <v>231</v>
      </c>
      <c r="C28" s="75" t="s">
        <v>227</v>
      </c>
      <c r="D28" s="75" t="s">
        <v>231</v>
      </c>
      <c r="E28" s="75" t="s">
        <v>232</v>
      </c>
      <c r="F28" s="75" t="s">
        <v>233</v>
      </c>
      <c r="G28" s="75" t="s">
        <v>16</v>
      </c>
      <c r="H28" s="75" t="s">
        <v>16</v>
      </c>
      <c r="I28" s="75" t="s">
        <v>16</v>
      </c>
      <c r="J28" s="75" t="s">
        <v>16</v>
      </c>
      <c r="K28" s="25">
        <v>54.091999999999999</v>
      </c>
      <c r="L28" s="25">
        <v>0.18440000000000001</v>
      </c>
      <c r="M28" s="25">
        <v>0.17030000000000001</v>
      </c>
      <c r="N28" s="25">
        <v>0.1643</v>
      </c>
      <c r="O28" s="25">
        <v>2544.13</v>
      </c>
      <c r="P28" s="25">
        <v>2542.1</v>
      </c>
      <c r="Q28" s="25">
        <v>2541.4299999999998</v>
      </c>
      <c r="R28" s="25">
        <v>2540.77</v>
      </c>
      <c r="S28" s="25">
        <v>2408.91</v>
      </c>
      <c r="T28" s="25">
        <v>2408.8000000000002</v>
      </c>
      <c r="U28" s="25">
        <v>2408.7600000000002</v>
      </c>
      <c r="V28" s="25">
        <v>2408.7199999999998</v>
      </c>
      <c r="W28" s="25">
        <v>0</v>
      </c>
      <c r="X28" s="25">
        <v>0</v>
      </c>
      <c r="Y28" s="25">
        <v>0</v>
      </c>
      <c r="Z28" s="25">
        <v>0</v>
      </c>
      <c r="AA28" s="25">
        <v>0</v>
      </c>
      <c r="AB28" s="25">
        <v>0</v>
      </c>
      <c r="AC28" s="25">
        <v>0</v>
      </c>
      <c r="AD28" s="25">
        <v>0</v>
      </c>
      <c r="AE28" s="25">
        <v>0</v>
      </c>
      <c r="AF28" s="25">
        <v>0</v>
      </c>
      <c r="AG28" s="25">
        <v>0</v>
      </c>
      <c r="AH28" s="25">
        <v>0</v>
      </c>
      <c r="AI28" s="25">
        <v>0</v>
      </c>
      <c r="AJ28" s="25">
        <v>0</v>
      </c>
      <c r="AK28" s="25">
        <v>0</v>
      </c>
      <c r="AL28" s="25">
        <v>0</v>
      </c>
      <c r="AM28" s="26">
        <v>2879.9635268256015</v>
      </c>
      <c r="AN28" s="25"/>
      <c r="AO28" s="26">
        <v>107.51</v>
      </c>
      <c r="AP28" s="25"/>
      <c r="AQ28" s="25" t="e" cm="1">
        <f t="array" aca="1" ref="AQ28" ca="1">VBAProject.LinearInt.lin_int(CONVERT(60,"F","C"),15,20,M28,N28)</f>
        <v>#NAME?</v>
      </c>
      <c r="AR28" s="25" t="e" cm="1">
        <f t="array" aca="1" ref="AR28" ca="1">VBAProject.LinearInt.lin_int(CONVERT(60,"F","C"),15,20,P28,Q28)</f>
        <v>#NAME?</v>
      </c>
    </row>
    <row r="29" spans="1:44" x14ac:dyDescent="0.25">
      <c r="A29" s="25">
        <f t="shared" ref="A29:A64" si="1">A28+1</f>
        <v>28</v>
      </c>
      <c r="B29" s="25" t="s">
        <v>234</v>
      </c>
      <c r="C29" s="75" t="s">
        <v>235</v>
      </c>
      <c r="D29" s="75" t="s">
        <v>234</v>
      </c>
      <c r="E29" s="75" t="s">
        <v>236</v>
      </c>
      <c r="F29" s="75" t="s">
        <v>237</v>
      </c>
      <c r="G29" s="75" t="s">
        <v>238</v>
      </c>
      <c r="H29" s="75" t="s">
        <v>239</v>
      </c>
      <c r="I29" s="75" t="s">
        <v>16</v>
      </c>
      <c r="J29" s="75" t="s">
        <v>16</v>
      </c>
      <c r="K29" s="25">
        <v>26.038</v>
      </c>
      <c r="L29" s="25">
        <v>9.4899999999999998E-2</v>
      </c>
      <c r="M29" s="25">
        <v>8.3699999999999997E-2</v>
      </c>
      <c r="N29" s="25">
        <v>8.3699999999999997E-2</v>
      </c>
      <c r="O29" s="25">
        <v>1301.8599999999999</v>
      </c>
      <c r="P29" s="25">
        <v>1301.3699999999999</v>
      </c>
      <c r="Q29" s="25">
        <v>1301.21</v>
      </c>
      <c r="R29" s="25">
        <v>1301.05</v>
      </c>
      <c r="S29" s="25">
        <v>1256.79</v>
      </c>
      <c r="T29" s="25">
        <v>1256.94</v>
      </c>
      <c r="U29" s="25">
        <v>1256.98</v>
      </c>
      <c r="V29" s="25">
        <v>1257.03</v>
      </c>
      <c r="W29" s="25">
        <v>0</v>
      </c>
      <c r="X29" s="25">
        <v>0</v>
      </c>
      <c r="Y29" s="25">
        <v>0</v>
      </c>
      <c r="Z29" s="25">
        <v>0</v>
      </c>
      <c r="AA29" s="25">
        <v>0</v>
      </c>
      <c r="AB29" s="25">
        <v>0</v>
      </c>
      <c r="AC29" s="25">
        <v>0</v>
      </c>
      <c r="AD29" s="25">
        <v>0</v>
      </c>
      <c r="AE29" s="25">
        <v>0</v>
      </c>
      <c r="AF29" s="25">
        <v>0</v>
      </c>
      <c r="AG29" s="25">
        <v>0</v>
      </c>
      <c r="AH29" s="25">
        <v>0</v>
      </c>
      <c r="AI29" s="25">
        <v>0</v>
      </c>
      <c r="AJ29" s="25">
        <v>0</v>
      </c>
      <c r="AK29" s="25">
        <v>0</v>
      </c>
      <c r="AL29" s="25">
        <v>0</v>
      </c>
      <c r="AM29" s="26">
        <v>1474.3541967458486</v>
      </c>
      <c r="AN29" s="25"/>
      <c r="AO29" s="26">
        <v>55.04</v>
      </c>
      <c r="AP29" s="25"/>
      <c r="AQ29" s="25" t="e" cm="1">
        <f t="array" aca="1" ref="AQ29" ca="1">VBAProject.LinearInt.lin_int(CONVERT(60,"F","C"),15,20,M29,N29)</f>
        <v>#NAME?</v>
      </c>
      <c r="AR29" s="25" t="e" cm="1">
        <f t="array" aca="1" ref="AR29" ca="1">VBAProject.LinearInt.lin_int(CONVERT(60,"F","C"),15,20,P29,Q29)</f>
        <v>#NAME?</v>
      </c>
    </row>
    <row r="30" spans="1:44" x14ac:dyDescent="0.25">
      <c r="A30" s="25">
        <f t="shared" si="1"/>
        <v>29</v>
      </c>
      <c r="B30" s="25" t="s">
        <v>240</v>
      </c>
      <c r="C30" s="75" t="s">
        <v>216</v>
      </c>
      <c r="D30" s="75" t="s">
        <v>240</v>
      </c>
      <c r="E30" s="75" t="s">
        <v>241</v>
      </c>
      <c r="F30" s="75" t="s">
        <v>16</v>
      </c>
      <c r="G30" s="75" t="s">
        <v>16</v>
      </c>
      <c r="H30" s="75" t="s">
        <v>16</v>
      </c>
      <c r="I30" s="75" t="s">
        <v>16</v>
      </c>
      <c r="J30" s="75" t="s">
        <v>16</v>
      </c>
      <c r="K30" s="25">
        <v>70.134</v>
      </c>
      <c r="L30" s="25">
        <v>0.255</v>
      </c>
      <c r="M30" s="25">
        <v>0.23019999999999999</v>
      </c>
      <c r="N30" s="25">
        <v>0.22359999999999999</v>
      </c>
      <c r="O30" s="25">
        <v>3326.14</v>
      </c>
      <c r="P30" s="25">
        <v>3322.19</v>
      </c>
      <c r="Q30" s="25">
        <v>3320.88</v>
      </c>
      <c r="R30" s="25">
        <v>3319.59</v>
      </c>
      <c r="S30" s="25">
        <v>3100.77</v>
      </c>
      <c r="T30" s="25">
        <v>3100.03</v>
      </c>
      <c r="U30" s="25">
        <v>3099.76</v>
      </c>
      <c r="V30" s="25">
        <v>3099.51</v>
      </c>
      <c r="W30" s="25">
        <v>0</v>
      </c>
      <c r="X30" s="25">
        <v>0</v>
      </c>
      <c r="Y30" s="25">
        <v>0</v>
      </c>
      <c r="Z30" s="25">
        <v>0</v>
      </c>
      <c r="AA30" s="25">
        <v>0</v>
      </c>
      <c r="AB30" s="25">
        <v>0</v>
      </c>
      <c r="AC30" s="25">
        <v>0</v>
      </c>
      <c r="AD30" s="25">
        <v>0</v>
      </c>
      <c r="AE30" s="25">
        <v>0</v>
      </c>
      <c r="AF30" s="25">
        <v>0</v>
      </c>
      <c r="AG30" s="25">
        <v>0</v>
      </c>
      <c r="AH30" s="25">
        <v>0</v>
      </c>
      <c r="AI30" s="25">
        <v>0</v>
      </c>
      <c r="AJ30" s="25">
        <v>0</v>
      </c>
      <c r="AK30" s="25">
        <v>0</v>
      </c>
      <c r="AL30" s="25">
        <v>0</v>
      </c>
      <c r="AM30" s="26">
        <v>3763.6792931173832</v>
      </c>
      <c r="AN30" s="25"/>
      <c r="AO30" s="26">
        <v>140.5</v>
      </c>
      <c r="AP30" s="25"/>
      <c r="AQ30" s="25" t="e" cm="1">
        <f t="array" aca="1" ref="AQ30" ca="1">VBAProject.LinearInt.lin_int(CONVERT(60,"F","C"),15,20,M30,N30)</f>
        <v>#NAME?</v>
      </c>
      <c r="AR30" s="25" t="e" cm="1">
        <f t="array" aca="1" ref="AR30" ca="1">VBAProject.LinearInt.lin_int(CONVERT(60,"F","C"),15,20,P30,Q30)</f>
        <v>#NAME?</v>
      </c>
    </row>
    <row r="31" spans="1:44" x14ac:dyDescent="0.25">
      <c r="A31" s="25">
        <f t="shared" si="1"/>
        <v>30</v>
      </c>
      <c r="B31" s="25" t="s">
        <v>242</v>
      </c>
      <c r="C31" s="75" t="s">
        <v>243</v>
      </c>
      <c r="D31" s="75" t="s">
        <v>242</v>
      </c>
      <c r="E31" s="75" t="s">
        <v>16</v>
      </c>
      <c r="F31" s="75" t="s">
        <v>16</v>
      </c>
      <c r="G31" s="75" t="s">
        <v>16</v>
      </c>
      <c r="H31" s="75" t="s">
        <v>16</v>
      </c>
      <c r="I31" s="75" t="s">
        <v>16</v>
      </c>
      <c r="J31" s="75" t="s">
        <v>16</v>
      </c>
      <c r="K31" s="25">
        <v>84.161000000000001</v>
      </c>
      <c r="L31" s="25">
        <v>0.313</v>
      </c>
      <c r="M31" s="25">
        <v>0.28110000000000002</v>
      </c>
      <c r="N31" s="25">
        <v>0.2702</v>
      </c>
      <c r="O31" s="25">
        <v>3977.04</v>
      </c>
      <c r="P31" s="25">
        <v>3972.46</v>
      </c>
      <c r="Q31" s="25">
        <v>3970.93</v>
      </c>
      <c r="R31" s="25">
        <v>3969.44</v>
      </c>
      <c r="S31" s="25">
        <v>3706.6</v>
      </c>
      <c r="T31" s="25">
        <v>3705.86</v>
      </c>
      <c r="U31" s="25">
        <v>3705.59</v>
      </c>
      <c r="V31" s="25">
        <v>3705.34</v>
      </c>
      <c r="W31" s="25">
        <v>0</v>
      </c>
      <c r="X31" s="25">
        <v>0</v>
      </c>
      <c r="Y31" s="25">
        <v>0</v>
      </c>
      <c r="Z31" s="25">
        <v>0</v>
      </c>
      <c r="AA31" s="25">
        <v>0</v>
      </c>
      <c r="AB31" s="25">
        <v>0</v>
      </c>
      <c r="AC31" s="25">
        <v>0</v>
      </c>
      <c r="AD31" s="25">
        <v>0</v>
      </c>
      <c r="AE31" s="25">
        <v>0</v>
      </c>
      <c r="AF31" s="25">
        <v>0</v>
      </c>
      <c r="AG31" s="25">
        <v>0</v>
      </c>
      <c r="AH31" s="25">
        <v>0</v>
      </c>
      <c r="AI31" s="25">
        <v>0</v>
      </c>
      <c r="AJ31" s="25">
        <v>0</v>
      </c>
      <c r="AK31" s="25">
        <v>0</v>
      </c>
      <c r="AL31" s="25">
        <v>0</v>
      </c>
      <c r="AM31" s="26">
        <v>4500.3688656080949</v>
      </c>
      <c r="AN31" s="25"/>
      <c r="AO31" s="26">
        <v>168</v>
      </c>
      <c r="AP31" s="25"/>
      <c r="AQ31" s="25" t="e" cm="1">
        <f t="array" aca="1" ref="AQ31" ca="1">VBAProject.LinearInt.lin_int(CONVERT(60,"F","C"),15,20,M31,N31)</f>
        <v>#NAME?</v>
      </c>
      <c r="AR31" s="25" t="e" cm="1">
        <f t="array" aca="1" ref="AR31" ca="1">VBAProject.LinearInt.lin_int(CONVERT(60,"F","C"),15,20,P31,Q31)</f>
        <v>#NAME?</v>
      </c>
    </row>
    <row r="32" spans="1:44" x14ac:dyDescent="0.25">
      <c r="A32" s="25">
        <f t="shared" si="1"/>
        <v>31</v>
      </c>
      <c r="B32" s="25" t="s">
        <v>244</v>
      </c>
      <c r="C32" s="75" t="s">
        <v>245</v>
      </c>
      <c r="D32" s="75" t="s">
        <v>244</v>
      </c>
      <c r="E32" s="75" t="s">
        <v>246</v>
      </c>
      <c r="F32" s="75" t="s">
        <v>247</v>
      </c>
      <c r="G32" s="75" t="s">
        <v>16</v>
      </c>
      <c r="H32" s="75" t="s">
        <v>16</v>
      </c>
      <c r="I32" s="75" t="s">
        <v>16</v>
      </c>
      <c r="J32" s="75" t="s">
        <v>16</v>
      </c>
      <c r="K32" s="25">
        <v>98.188000000000002</v>
      </c>
      <c r="L32" s="25">
        <v>0.3987</v>
      </c>
      <c r="M32" s="25">
        <v>0.35210000000000002</v>
      </c>
      <c r="N32" s="25">
        <v>0.33910000000000001</v>
      </c>
      <c r="O32" s="25">
        <v>4637.2700000000004</v>
      </c>
      <c r="P32" s="25">
        <v>4631.95</v>
      </c>
      <c r="Q32" s="25">
        <v>4630.1899999999996</v>
      </c>
      <c r="R32" s="25">
        <v>4628.47</v>
      </c>
      <c r="S32" s="25">
        <v>4321.75</v>
      </c>
      <c r="T32" s="25">
        <v>4320.92</v>
      </c>
      <c r="U32" s="25">
        <v>4320.63</v>
      </c>
      <c r="V32" s="25">
        <v>4320.3599999999997</v>
      </c>
      <c r="W32" s="25">
        <v>0</v>
      </c>
      <c r="X32" s="25">
        <v>0</v>
      </c>
      <c r="Y32" s="25">
        <v>0</v>
      </c>
      <c r="Z32" s="25">
        <v>0</v>
      </c>
      <c r="AA32" s="25">
        <v>0</v>
      </c>
      <c r="AB32" s="25">
        <v>0</v>
      </c>
      <c r="AC32" s="25">
        <v>0</v>
      </c>
      <c r="AD32" s="25">
        <v>0</v>
      </c>
      <c r="AE32" s="25">
        <v>0</v>
      </c>
      <c r="AF32" s="25">
        <v>0</v>
      </c>
      <c r="AG32" s="25">
        <v>0</v>
      </c>
      <c r="AH32" s="25">
        <v>0</v>
      </c>
      <c r="AI32" s="25">
        <v>0</v>
      </c>
      <c r="AJ32" s="25">
        <v>0</v>
      </c>
      <c r="AK32" s="25">
        <v>0</v>
      </c>
      <c r="AL32" s="25">
        <v>0</v>
      </c>
      <c r="AM32" s="26">
        <v>5247.5029045188876</v>
      </c>
      <c r="AN32" s="25"/>
      <c r="AO32" s="26">
        <v>195.9</v>
      </c>
      <c r="AP32" s="25"/>
      <c r="AQ32" s="25" t="e" cm="1">
        <f t="array" aca="1" ref="AQ32" ca="1">VBAProject.LinearInt.lin_int(CONVERT(60,"F","C"),15,20,M32,N32)</f>
        <v>#NAME?</v>
      </c>
      <c r="AR32" s="25" t="e" cm="1">
        <f t="array" aca="1" ref="AR32" ca="1">VBAProject.LinearInt.lin_int(CONVERT(60,"F","C"),15,20,P32,Q32)</f>
        <v>#NAME?</v>
      </c>
    </row>
    <row r="33" spans="1:44" x14ac:dyDescent="0.25">
      <c r="A33" s="25">
        <f t="shared" si="1"/>
        <v>32</v>
      </c>
      <c r="B33" s="25" t="s">
        <v>248</v>
      </c>
      <c r="C33" s="75" t="s">
        <v>243</v>
      </c>
      <c r="D33" s="75" t="s">
        <v>248</v>
      </c>
      <c r="E33" s="75" t="s">
        <v>249</v>
      </c>
      <c r="F33" s="75" t="s">
        <v>250</v>
      </c>
      <c r="G33" s="75" t="s">
        <v>16</v>
      </c>
      <c r="H33" s="75" t="s">
        <v>16</v>
      </c>
      <c r="I33" s="75" t="s">
        <v>16</v>
      </c>
      <c r="J33" s="75" t="s">
        <v>16</v>
      </c>
      <c r="K33" s="25">
        <v>84.161000000000001</v>
      </c>
      <c r="L33" s="25">
        <v>0.32090000000000002</v>
      </c>
      <c r="M33" s="25">
        <v>0.28639999999999999</v>
      </c>
      <c r="N33" s="25">
        <v>0.2757</v>
      </c>
      <c r="O33" s="25">
        <v>3960.67</v>
      </c>
      <c r="P33" s="25">
        <v>3956.02</v>
      </c>
      <c r="Q33" s="25">
        <v>3954.47</v>
      </c>
      <c r="R33" s="25">
        <v>3952.96</v>
      </c>
      <c r="S33" s="25">
        <v>3690.23</v>
      </c>
      <c r="T33" s="25">
        <v>3689.42</v>
      </c>
      <c r="U33" s="25">
        <v>3689.13</v>
      </c>
      <c r="V33" s="25">
        <v>3688.86</v>
      </c>
      <c r="W33" s="25">
        <v>0</v>
      </c>
      <c r="X33" s="25">
        <v>0</v>
      </c>
      <c r="Y33" s="25">
        <v>0</v>
      </c>
      <c r="Z33" s="25">
        <v>0</v>
      </c>
      <c r="AA33" s="25">
        <v>0</v>
      </c>
      <c r="AB33" s="25">
        <v>0</v>
      </c>
      <c r="AC33" s="25">
        <v>0</v>
      </c>
      <c r="AD33" s="25">
        <v>0</v>
      </c>
      <c r="AE33" s="25">
        <v>0</v>
      </c>
      <c r="AF33" s="25">
        <v>0</v>
      </c>
      <c r="AG33" s="25">
        <v>0</v>
      </c>
      <c r="AH33" s="25">
        <v>0</v>
      </c>
      <c r="AI33" s="25">
        <v>0</v>
      </c>
      <c r="AJ33" s="25">
        <v>0</v>
      </c>
      <c r="AK33" s="25">
        <v>0</v>
      </c>
      <c r="AL33" s="25">
        <v>0</v>
      </c>
      <c r="AM33" s="26">
        <v>4481.7408538169957</v>
      </c>
      <c r="AN33" s="25"/>
      <c r="AO33" s="26">
        <v>167.31</v>
      </c>
      <c r="AP33" s="25"/>
      <c r="AQ33" s="25" t="e" cm="1">
        <f t="array" aca="1" ref="AQ33" ca="1">VBAProject.LinearInt.lin_int(CONVERT(60,"F","C"),15,20,M33,N33)</f>
        <v>#NAME?</v>
      </c>
      <c r="AR33" s="25" t="e" cm="1">
        <f t="array" aca="1" ref="AR33" ca="1">VBAProject.LinearInt.lin_int(CONVERT(60,"F","C"),15,20,P33,Q33)</f>
        <v>#NAME?</v>
      </c>
    </row>
    <row r="34" spans="1:44" x14ac:dyDescent="0.25">
      <c r="A34" s="25">
        <f t="shared" si="1"/>
        <v>33</v>
      </c>
      <c r="B34" s="25" t="s">
        <v>251</v>
      </c>
      <c r="C34" s="75" t="s">
        <v>245</v>
      </c>
      <c r="D34" s="75" t="s">
        <v>251</v>
      </c>
      <c r="E34" s="75" t="s">
        <v>252</v>
      </c>
      <c r="F34" s="75" t="s">
        <v>253</v>
      </c>
      <c r="G34" s="75" t="s">
        <v>16</v>
      </c>
      <c r="H34" s="75" t="s">
        <v>16</v>
      </c>
      <c r="I34" s="75" t="s">
        <v>16</v>
      </c>
      <c r="J34" s="75" t="s">
        <v>16</v>
      </c>
      <c r="K34" s="25">
        <v>98.188000000000002</v>
      </c>
      <c r="L34" s="25">
        <v>0.38080000000000003</v>
      </c>
      <c r="M34" s="25">
        <v>0.33760000000000001</v>
      </c>
      <c r="N34" s="25">
        <v>0.3256</v>
      </c>
      <c r="O34" s="25">
        <v>4609.34</v>
      </c>
      <c r="P34" s="25">
        <v>4604.09</v>
      </c>
      <c r="Q34" s="25">
        <v>4602.3500000000004</v>
      </c>
      <c r="R34" s="25">
        <v>4600.6400000000003</v>
      </c>
      <c r="S34" s="25">
        <v>4293.82</v>
      </c>
      <c r="T34" s="25">
        <v>4293.0600000000004</v>
      </c>
      <c r="U34" s="25">
        <v>4292.78</v>
      </c>
      <c r="V34" s="25">
        <v>4292.53</v>
      </c>
      <c r="W34" s="25">
        <v>0</v>
      </c>
      <c r="X34" s="25">
        <v>0</v>
      </c>
      <c r="Y34" s="25">
        <v>0</v>
      </c>
      <c r="Z34" s="25">
        <v>0</v>
      </c>
      <c r="AA34" s="25">
        <v>0</v>
      </c>
      <c r="AB34" s="25">
        <v>0</v>
      </c>
      <c r="AC34" s="25">
        <v>0</v>
      </c>
      <c r="AD34" s="25">
        <v>0</v>
      </c>
      <c r="AE34" s="25">
        <v>0</v>
      </c>
      <c r="AF34" s="25">
        <v>0</v>
      </c>
      <c r="AG34" s="25">
        <v>0</v>
      </c>
      <c r="AH34" s="25">
        <v>0</v>
      </c>
      <c r="AI34" s="25">
        <v>0</v>
      </c>
      <c r="AJ34" s="25">
        <v>0</v>
      </c>
      <c r="AK34" s="25">
        <v>0</v>
      </c>
      <c r="AL34" s="25">
        <v>0</v>
      </c>
      <c r="AM34" s="26">
        <v>5215.9416775724658</v>
      </c>
      <c r="AN34" s="25"/>
      <c r="AO34" s="26">
        <v>194.72</v>
      </c>
      <c r="AP34" s="25"/>
      <c r="AQ34" s="25" t="e" cm="1">
        <f t="array" aca="1" ref="AQ34" ca="1">VBAProject.LinearInt.lin_int(CONVERT(60,"F","C"),15,20,M34,N34)</f>
        <v>#NAME?</v>
      </c>
      <c r="AR34" s="25" t="e" cm="1">
        <f t="array" aca="1" ref="AR34" ca="1">VBAProject.LinearInt.lin_int(CONVERT(60,"F","C"),15,20,P34,Q34)</f>
        <v>#NAME?</v>
      </c>
    </row>
    <row r="35" spans="1:44" x14ac:dyDescent="0.25">
      <c r="A35" s="25">
        <f t="shared" si="1"/>
        <v>34</v>
      </c>
      <c r="B35" s="25" t="s">
        <v>254</v>
      </c>
      <c r="C35" s="75" t="s">
        <v>255</v>
      </c>
      <c r="D35" s="75" t="s">
        <v>254</v>
      </c>
      <c r="E35" s="75" t="s">
        <v>256</v>
      </c>
      <c r="F35" s="75" t="s">
        <v>16</v>
      </c>
      <c r="G35" s="75" t="s">
        <v>16</v>
      </c>
      <c r="H35" s="75" t="s">
        <v>16</v>
      </c>
      <c r="I35" s="75" t="s">
        <v>16</v>
      </c>
      <c r="J35" s="75" t="s">
        <v>16</v>
      </c>
      <c r="K35" s="25">
        <v>112.215</v>
      </c>
      <c r="L35" s="25">
        <v>0.47960000000000003</v>
      </c>
      <c r="M35" s="25">
        <v>0.41949999999999998</v>
      </c>
      <c r="N35" s="25">
        <v>0.40250000000000002</v>
      </c>
      <c r="O35" s="25">
        <v>5272.88</v>
      </c>
      <c r="P35" s="25">
        <v>5266.95</v>
      </c>
      <c r="Q35" s="25">
        <v>5264.98</v>
      </c>
      <c r="R35" s="25">
        <v>5263.05</v>
      </c>
      <c r="S35" s="25">
        <v>4912.29</v>
      </c>
      <c r="T35" s="25">
        <v>4911.49</v>
      </c>
      <c r="U35" s="25">
        <v>4911.1899999999996</v>
      </c>
      <c r="V35" s="25">
        <v>4910.92</v>
      </c>
      <c r="W35" s="25">
        <v>0</v>
      </c>
      <c r="X35" s="25">
        <v>0</v>
      </c>
      <c r="Y35" s="25">
        <v>0</v>
      </c>
      <c r="Z35" s="25">
        <v>0</v>
      </c>
      <c r="AA35" s="25">
        <v>0</v>
      </c>
      <c r="AB35" s="25">
        <v>0</v>
      </c>
      <c r="AC35" s="25">
        <v>0</v>
      </c>
      <c r="AD35" s="25">
        <v>0</v>
      </c>
      <c r="AE35" s="25">
        <v>0</v>
      </c>
      <c r="AF35" s="25">
        <v>0</v>
      </c>
      <c r="AG35" s="25">
        <v>0</v>
      </c>
      <c r="AH35" s="25">
        <v>0</v>
      </c>
      <c r="AI35" s="25">
        <v>0</v>
      </c>
      <c r="AJ35" s="25">
        <v>0</v>
      </c>
      <c r="AK35" s="25">
        <v>0</v>
      </c>
      <c r="AL35" s="25">
        <v>0</v>
      </c>
      <c r="AM35" s="26">
        <v>5966.8937240350733</v>
      </c>
      <c r="AN35" s="25"/>
      <c r="AO35" s="26">
        <v>222.75</v>
      </c>
      <c r="AP35" s="25"/>
      <c r="AQ35" s="25" t="e" cm="1">
        <f t="array" aca="1" ref="AQ35" ca="1">VBAProject.LinearInt.lin_int(CONVERT(60,"F","C"),15,20,M35,N35)</f>
        <v>#NAME?</v>
      </c>
      <c r="AR35" s="25" t="e" cm="1">
        <f t="array" aca="1" ref="AR35" ca="1">VBAProject.LinearInt.lin_int(CONVERT(60,"F","C"),15,20,P35,Q35)</f>
        <v>#NAME?</v>
      </c>
    </row>
    <row r="36" spans="1:44" x14ac:dyDescent="0.25">
      <c r="A36" s="25">
        <f t="shared" si="1"/>
        <v>35</v>
      </c>
      <c r="B36" s="25" t="s">
        <v>26</v>
      </c>
      <c r="C36" s="75" t="s">
        <v>257</v>
      </c>
      <c r="D36" s="75" t="s">
        <v>26</v>
      </c>
      <c r="E36" s="75" t="s">
        <v>258</v>
      </c>
      <c r="F36" s="75" t="s">
        <v>259</v>
      </c>
      <c r="G36" s="75" t="s">
        <v>16</v>
      </c>
      <c r="H36" s="75" t="s">
        <v>16</v>
      </c>
      <c r="I36" s="75" t="s">
        <v>16</v>
      </c>
      <c r="J36" s="75" t="s">
        <v>16</v>
      </c>
      <c r="K36" s="25">
        <v>78.114000000000004</v>
      </c>
      <c r="L36" s="25">
        <v>0.30170000000000002</v>
      </c>
      <c r="M36" s="25">
        <v>0.27200000000000002</v>
      </c>
      <c r="N36" s="25">
        <v>0.253</v>
      </c>
      <c r="O36" s="25">
        <v>3305.03</v>
      </c>
      <c r="P36" s="25">
        <v>3302.86</v>
      </c>
      <c r="Q36" s="25">
        <v>3302.15</v>
      </c>
      <c r="R36" s="25">
        <v>3301.43</v>
      </c>
      <c r="S36" s="25">
        <v>3169.81</v>
      </c>
      <c r="T36" s="25">
        <v>3169.56</v>
      </c>
      <c r="U36" s="25">
        <v>3169.48</v>
      </c>
      <c r="V36" s="25">
        <v>3169.38</v>
      </c>
      <c r="W36" s="25">
        <v>0</v>
      </c>
      <c r="X36" s="25">
        <v>0</v>
      </c>
      <c r="Y36" s="25">
        <v>0</v>
      </c>
      <c r="Z36" s="25">
        <v>0</v>
      </c>
      <c r="AA36" s="25">
        <v>0</v>
      </c>
      <c r="AB36" s="25">
        <v>0</v>
      </c>
      <c r="AC36" s="25">
        <v>0</v>
      </c>
      <c r="AD36" s="25">
        <v>0</v>
      </c>
      <c r="AE36" s="25">
        <v>0</v>
      </c>
      <c r="AF36" s="25">
        <v>0</v>
      </c>
      <c r="AG36" s="25">
        <v>0</v>
      </c>
      <c r="AH36" s="25">
        <v>0</v>
      </c>
      <c r="AI36" s="25">
        <v>0</v>
      </c>
      <c r="AJ36" s="25">
        <v>0</v>
      </c>
      <c r="AK36" s="25">
        <v>0</v>
      </c>
      <c r="AL36" s="25">
        <v>0</v>
      </c>
      <c r="AM36" s="26">
        <v>3741.853946395689</v>
      </c>
      <c r="AN36" s="25"/>
      <c r="AO36" s="26">
        <v>139.69</v>
      </c>
      <c r="AP36" s="25"/>
      <c r="AQ36" s="25" t="e" cm="1">
        <f t="array" aca="1" ref="AQ36" ca="1">VBAProject.LinearInt.lin_int(CONVERT(60,"F","C"),15,20,M36,N36)</f>
        <v>#NAME?</v>
      </c>
      <c r="AR36" s="25" t="e" cm="1">
        <f t="array" aca="1" ref="AR36" ca="1">VBAProject.LinearInt.lin_int(CONVERT(60,"F","C"),15,20,P36,Q36)</f>
        <v>#NAME?</v>
      </c>
    </row>
    <row r="37" spans="1:44" x14ac:dyDescent="0.25">
      <c r="A37" s="25">
        <f t="shared" si="1"/>
        <v>36</v>
      </c>
      <c r="B37" s="25" t="s">
        <v>27</v>
      </c>
      <c r="C37" s="75" t="s">
        <v>260</v>
      </c>
      <c r="D37" s="75" t="s">
        <v>27</v>
      </c>
      <c r="E37" s="75" t="s">
        <v>261</v>
      </c>
      <c r="F37" s="75" t="s">
        <v>262</v>
      </c>
      <c r="G37" s="75" t="s">
        <v>263</v>
      </c>
      <c r="H37" s="75" t="s">
        <v>16</v>
      </c>
      <c r="I37" s="75" t="s">
        <v>16</v>
      </c>
      <c r="J37" s="75" t="s">
        <v>16</v>
      </c>
      <c r="K37" s="25">
        <v>92.141000000000005</v>
      </c>
      <c r="L37" s="25">
        <v>0.3886</v>
      </c>
      <c r="M37" s="25">
        <v>0.34210000000000002</v>
      </c>
      <c r="N37" s="25">
        <v>0.3286</v>
      </c>
      <c r="O37" s="25">
        <v>3952.72</v>
      </c>
      <c r="P37" s="25">
        <v>3949.81</v>
      </c>
      <c r="Q37" s="25">
        <v>3948.84</v>
      </c>
      <c r="R37" s="25">
        <v>3947.89</v>
      </c>
      <c r="S37" s="25">
        <v>3772.42</v>
      </c>
      <c r="T37" s="25">
        <v>3772.08</v>
      </c>
      <c r="U37" s="25">
        <v>3771.95</v>
      </c>
      <c r="V37" s="25">
        <v>3771.83</v>
      </c>
      <c r="W37" s="25">
        <v>0</v>
      </c>
      <c r="X37" s="25">
        <v>0</v>
      </c>
      <c r="Y37" s="25">
        <v>0</v>
      </c>
      <c r="Z37" s="25">
        <v>0</v>
      </c>
      <c r="AA37" s="25">
        <v>0</v>
      </c>
      <c r="AB37" s="25">
        <v>0</v>
      </c>
      <c r="AC37" s="25">
        <v>0</v>
      </c>
      <c r="AD37" s="25">
        <v>0</v>
      </c>
      <c r="AE37" s="25">
        <v>0</v>
      </c>
      <c r="AF37" s="25">
        <v>0</v>
      </c>
      <c r="AG37" s="25">
        <v>0</v>
      </c>
      <c r="AH37" s="25">
        <v>0</v>
      </c>
      <c r="AI37" s="25">
        <v>0</v>
      </c>
      <c r="AJ37" s="25">
        <v>0</v>
      </c>
      <c r="AK37" s="25">
        <v>0</v>
      </c>
      <c r="AL37" s="25">
        <v>0</v>
      </c>
      <c r="AM37" s="26">
        <v>4474.7771995272551</v>
      </c>
      <c r="AN37" s="25"/>
      <c r="AO37" s="26">
        <v>167.05</v>
      </c>
      <c r="AP37" s="25"/>
      <c r="AQ37" s="25" t="e" cm="1">
        <f t="array" aca="1" ref="AQ37" ca="1">VBAProject.LinearInt.lin_int(CONVERT(60,"F","C"),15,20,M37,N37)</f>
        <v>#NAME?</v>
      </c>
      <c r="AR37" s="25" t="e" cm="1">
        <f t="array" aca="1" ref="AR37" ca="1">VBAProject.LinearInt.lin_int(CONVERT(60,"F","C"),15,20,P37,Q37)</f>
        <v>#NAME?</v>
      </c>
    </row>
    <row r="38" spans="1:44" x14ac:dyDescent="0.25">
      <c r="A38" s="25">
        <f t="shared" si="1"/>
        <v>37</v>
      </c>
      <c r="B38" s="25" t="s">
        <v>264</v>
      </c>
      <c r="C38" s="75" t="s">
        <v>265</v>
      </c>
      <c r="D38" s="75" t="s">
        <v>264</v>
      </c>
      <c r="E38" s="75" t="s">
        <v>266</v>
      </c>
      <c r="F38" s="75" t="s">
        <v>267</v>
      </c>
      <c r="G38" s="75" t="s">
        <v>268</v>
      </c>
      <c r="H38" s="75" t="s">
        <v>16</v>
      </c>
      <c r="I38" s="75" t="s">
        <v>16</v>
      </c>
      <c r="J38" s="75" t="s">
        <v>16</v>
      </c>
      <c r="K38" s="25">
        <v>106.167</v>
      </c>
      <c r="L38" s="25">
        <v>0.48580000000000001</v>
      </c>
      <c r="M38" s="25">
        <v>0.42070000000000002</v>
      </c>
      <c r="N38" s="25">
        <v>0.4037</v>
      </c>
      <c r="O38" s="25">
        <v>4613.1400000000003</v>
      </c>
      <c r="P38" s="25">
        <v>4609.53</v>
      </c>
      <c r="Q38" s="25">
        <v>4608.32</v>
      </c>
      <c r="R38" s="25">
        <v>4607.1499999999996</v>
      </c>
      <c r="S38" s="25">
        <v>4387.7700000000004</v>
      </c>
      <c r="T38" s="25">
        <v>4387.37</v>
      </c>
      <c r="U38" s="25">
        <v>4387.2</v>
      </c>
      <c r="V38" s="25">
        <v>4387.07</v>
      </c>
      <c r="W38" s="25">
        <v>0</v>
      </c>
      <c r="X38" s="25">
        <v>0</v>
      </c>
      <c r="Y38" s="25">
        <v>0</v>
      </c>
      <c r="Z38" s="25">
        <v>0</v>
      </c>
      <c r="AA38" s="25">
        <v>0</v>
      </c>
      <c r="AB38" s="25">
        <v>0</v>
      </c>
      <c r="AC38" s="25">
        <v>0</v>
      </c>
      <c r="AD38" s="25">
        <v>0</v>
      </c>
      <c r="AE38" s="25">
        <v>0</v>
      </c>
      <c r="AF38" s="25">
        <v>0</v>
      </c>
      <c r="AG38" s="25">
        <v>0</v>
      </c>
      <c r="AH38" s="25">
        <v>0</v>
      </c>
      <c r="AI38" s="25">
        <v>0</v>
      </c>
      <c r="AJ38" s="25">
        <v>0</v>
      </c>
      <c r="AK38" s="25">
        <v>0</v>
      </c>
      <c r="AL38" s="25">
        <v>0</v>
      </c>
      <c r="AM38" s="26">
        <v>5222.1705749201956</v>
      </c>
      <c r="AN38" s="25"/>
      <c r="AO38" s="26">
        <v>194.95</v>
      </c>
      <c r="AP38" s="25"/>
      <c r="AQ38" s="25" t="e" cm="1">
        <f t="array" aca="1" ref="AQ38" ca="1">VBAProject.LinearInt.lin_int(CONVERT(60,"F","C"),15,20,M38,N38)</f>
        <v>#NAME?</v>
      </c>
      <c r="AR38" s="25" t="e" cm="1">
        <f t="array" aca="1" ref="AR38" ca="1">VBAProject.LinearInt.lin_int(CONVERT(60,"F","C"),15,20,P38,Q38)</f>
        <v>#NAME?</v>
      </c>
    </row>
    <row r="39" spans="1:44" x14ac:dyDescent="0.25">
      <c r="A39" s="25">
        <f t="shared" si="1"/>
        <v>38</v>
      </c>
      <c r="B39" s="25" t="s">
        <v>269</v>
      </c>
      <c r="C39" s="75" t="s">
        <v>265</v>
      </c>
      <c r="D39" s="75" t="s">
        <v>269</v>
      </c>
      <c r="E39" s="75" t="s">
        <v>270</v>
      </c>
      <c r="F39" s="75" t="s">
        <v>271</v>
      </c>
      <c r="G39" s="75" t="s">
        <v>16</v>
      </c>
      <c r="H39" s="75" t="s">
        <v>16</v>
      </c>
      <c r="I39" s="75" t="s">
        <v>16</v>
      </c>
      <c r="J39" s="75" t="s">
        <v>16</v>
      </c>
      <c r="K39" s="25">
        <v>106.167</v>
      </c>
      <c r="L39" s="25">
        <v>0.51280000000000003</v>
      </c>
      <c r="M39" s="25">
        <v>0.44269999999999998</v>
      </c>
      <c r="N39" s="25">
        <v>0.42309999999999998</v>
      </c>
      <c r="O39" s="25">
        <v>4602.17</v>
      </c>
      <c r="P39" s="25">
        <v>4598.6400000000003</v>
      </c>
      <c r="Q39" s="25">
        <v>4597.46</v>
      </c>
      <c r="R39" s="25">
        <v>4596.3100000000004</v>
      </c>
      <c r="S39" s="25">
        <v>4376.8</v>
      </c>
      <c r="T39" s="25">
        <v>4376.4799999999996</v>
      </c>
      <c r="U39" s="25">
        <v>4376.34</v>
      </c>
      <c r="V39" s="25">
        <v>4376.2299999999996</v>
      </c>
      <c r="W39" s="25">
        <v>0</v>
      </c>
      <c r="X39" s="25">
        <v>0</v>
      </c>
      <c r="Y39" s="25">
        <v>0</v>
      </c>
      <c r="Z39" s="25">
        <v>0</v>
      </c>
      <c r="AA39" s="25">
        <v>0</v>
      </c>
      <c r="AB39" s="25">
        <v>0</v>
      </c>
      <c r="AC39" s="25">
        <v>0</v>
      </c>
      <c r="AD39" s="25">
        <v>0</v>
      </c>
      <c r="AE39" s="25">
        <v>0</v>
      </c>
      <c r="AF39" s="25">
        <v>0</v>
      </c>
      <c r="AG39" s="25">
        <v>0</v>
      </c>
      <c r="AH39" s="25">
        <v>0</v>
      </c>
      <c r="AI39" s="25">
        <v>0</v>
      </c>
      <c r="AJ39" s="25">
        <v>0</v>
      </c>
      <c r="AK39" s="25">
        <v>0</v>
      </c>
      <c r="AL39" s="25">
        <v>0</v>
      </c>
      <c r="AM39" s="26">
        <v>5209.8365782249284</v>
      </c>
      <c r="AN39" s="25"/>
      <c r="AO39" s="26">
        <v>194.49</v>
      </c>
      <c r="AP39" s="25"/>
      <c r="AQ39" s="25" t="e" cm="1">
        <f t="array" aca="1" ref="AQ39" ca="1">VBAProject.LinearInt.lin_int(CONVERT(60,"F","C"),15,20,M39,N39)</f>
        <v>#NAME?</v>
      </c>
      <c r="AR39" s="25" t="e" cm="1">
        <f t="array" aca="1" ref="AR39" ca="1">VBAProject.LinearInt.lin_int(CONVERT(60,"F","C"),15,20,P39,Q39)</f>
        <v>#NAME?</v>
      </c>
    </row>
    <row r="40" spans="1:44" x14ac:dyDescent="0.25">
      <c r="A40" s="25">
        <f t="shared" si="1"/>
        <v>39</v>
      </c>
      <c r="B40" s="25" t="s">
        <v>272</v>
      </c>
      <c r="C40" s="75" t="s">
        <v>273</v>
      </c>
      <c r="D40" s="75" t="s">
        <v>272</v>
      </c>
      <c r="E40" s="75" t="s">
        <v>274</v>
      </c>
      <c r="F40" s="75" t="s">
        <v>16</v>
      </c>
      <c r="G40" s="75" t="s">
        <v>16</v>
      </c>
      <c r="H40" s="75" t="s">
        <v>16</v>
      </c>
      <c r="I40" s="75" t="s">
        <v>16</v>
      </c>
      <c r="J40" s="75" t="s">
        <v>16</v>
      </c>
      <c r="K40" s="25">
        <v>32.042000000000002</v>
      </c>
      <c r="L40" s="25">
        <v>0.47639999999999999</v>
      </c>
      <c r="M40" s="25">
        <v>0.35780000000000001</v>
      </c>
      <c r="N40" s="25">
        <v>0.3286</v>
      </c>
      <c r="O40" s="25">
        <v>766.59</v>
      </c>
      <c r="P40" s="25">
        <v>765.09</v>
      </c>
      <c r="Q40" s="25">
        <v>764.59</v>
      </c>
      <c r="R40" s="25">
        <v>764.09</v>
      </c>
      <c r="S40" s="25">
        <v>676.44</v>
      </c>
      <c r="T40" s="25">
        <v>676.22</v>
      </c>
      <c r="U40" s="25">
        <v>676.14</v>
      </c>
      <c r="V40" s="25">
        <v>676.06</v>
      </c>
      <c r="W40" s="25">
        <v>0</v>
      </c>
      <c r="X40" s="25">
        <v>0</v>
      </c>
      <c r="Y40" s="25">
        <v>0</v>
      </c>
      <c r="Z40" s="25">
        <v>0</v>
      </c>
      <c r="AA40" s="25">
        <v>0</v>
      </c>
      <c r="AB40" s="25">
        <v>0</v>
      </c>
      <c r="AC40" s="25">
        <v>0</v>
      </c>
      <c r="AD40" s="25">
        <v>0</v>
      </c>
      <c r="AE40" s="25">
        <v>0</v>
      </c>
      <c r="AF40" s="25">
        <v>0</v>
      </c>
      <c r="AG40" s="25">
        <v>0</v>
      </c>
      <c r="AH40" s="25">
        <v>0</v>
      </c>
      <c r="AI40" s="25">
        <v>0</v>
      </c>
      <c r="AJ40" s="25">
        <v>0</v>
      </c>
      <c r="AK40" s="25">
        <v>0</v>
      </c>
      <c r="AL40" s="25">
        <v>0</v>
      </c>
      <c r="AM40" s="26">
        <v>866.7390232092315</v>
      </c>
      <c r="AN40" s="25"/>
      <c r="AO40" s="26">
        <v>32.36</v>
      </c>
      <c r="AP40" s="25"/>
      <c r="AQ40" s="25" t="e" cm="1">
        <f t="array" aca="1" ref="AQ40" ca="1">VBAProject.LinearInt.lin_int(CONVERT(60,"F","C"),15,20,M40,N40)</f>
        <v>#NAME?</v>
      </c>
      <c r="AR40" s="25" t="e" cm="1">
        <f t="array" aca="1" ref="AR40" ca="1">VBAProject.LinearInt.lin_int(CONVERT(60,"F","C"),15,20,P40,Q40)</f>
        <v>#NAME?</v>
      </c>
    </row>
    <row r="41" spans="1:44" x14ac:dyDescent="0.25">
      <c r="A41" s="25">
        <f t="shared" si="1"/>
        <v>40</v>
      </c>
      <c r="B41" s="25" t="s">
        <v>275</v>
      </c>
      <c r="C41" s="75" t="s">
        <v>276</v>
      </c>
      <c r="D41" s="75" t="s">
        <v>275</v>
      </c>
      <c r="E41" s="75" t="s">
        <v>277</v>
      </c>
      <c r="F41" s="75" t="s">
        <v>278</v>
      </c>
      <c r="G41" s="75" t="s">
        <v>279</v>
      </c>
      <c r="H41" s="75" t="s">
        <v>16</v>
      </c>
      <c r="I41" s="75" t="s">
        <v>16</v>
      </c>
      <c r="J41" s="75" t="s">
        <v>16</v>
      </c>
      <c r="K41" s="25">
        <v>48.109000000000002</v>
      </c>
      <c r="L41" s="25">
        <v>0.1673</v>
      </c>
      <c r="M41" s="25">
        <v>0.1517</v>
      </c>
      <c r="N41" s="25">
        <v>0.14829999999999999</v>
      </c>
      <c r="O41" s="25">
        <v>1241.6300000000001</v>
      </c>
      <c r="P41" s="25">
        <v>1240.28</v>
      </c>
      <c r="Q41" s="25">
        <v>1239.83</v>
      </c>
      <c r="R41" s="25">
        <v>1239.3900000000001</v>
      </c>
      <c r="S41" s="25">
        <v>1151.48</v>
      </c>
      <c r="T41" s="25">
        <v>1151.4100000000001</v>
      </c>
      <c r="U41" s="25">
        <v>1151.3900000000001</v>
      </c>
      <c r="V41" s="25">
        <v>1151.3599999999999</v>
      </c>
      <c r="W41" s="25">
        <v>0</v>
      </c>
      <c r="X41" s="25">
        <v>0</v>
      </c>
      <c r="Y41" s="25">
        <v>0</v>
      </c>
      <c r="Z41" s="25">
        <v>0</v>
      </c>
      <c r="AA41" s="25">
        <v>0</v>
      </c>
      <c r="AB41" s="25">
        <v>0</v>
      </c>
      <c r="AC41" s="25">
        <v>0</v>
      </c>
      <c r="AD41" s="25">
        <v>0</v>
      </c>
      <c r="AE41" s="25">
        <v>0</v>
      </c>
      <c r="AF41" s="25">
        <v>0</v>
      </c>
      <c r="AG41" s="25">
        <v>0</v>
      </c>
      <c r="AH41" s="25">
        <v>0</v>
      </c>
      <c r="AI41" s="25">
        <v>0</v>
      </c>
      <c r="AJ41" s="25">
        <v>0</v>
      </c>
      <c r="AK41" s="25">
        <v>0</v>
      </c>
      <c r="AL41" s="25">
        <v>0</v>
      </c>
      <c r="AM41" s="26">
        <v>1405.1069453183684</v>
      </c>
      <c r="AN41" s="25"/>
      <c r="AO41" s="26">
        <v>52.45</v>
      </c>
      <c r="AP41" s="25"/>
      <c r="AQ41" s="25" t="e" cm="1">
        <f t="array" aca="1" ref="AQ41" ca="1">VBAProject.LinearInt.lin_int(CONVERT(60,"F","C"),15,20,M41,N41)</f>
        <v>#NAME?</v>
      </c>
      <c r="AR41" s="25" t="e" cm="1">
        <f t="array" aca="1" ref="AR41" ca="1">VBAProject.LinearInt.lin_int(CONVERT(60,"F","C"),15,20,P41,Q41)</f>
        <v>#NAME?</v>
      </c>
    </row>
    <row r="42" spans="1:44" x14ac:dyDescent="0.25">
      <c r="A42" s="25">
        <f t="shared" si="1"/>
        <v>41</v>
      </c>
      <c r="B42" s="25" t="s">
        <v>280</v>
      </c>
      <c r="C42" s="75" t="s">
        <v>36</v>
      </c>
      <c r="D42" s="75" t="s">
        <v>36</v>
      </c>
      <c r="E42" s="75" t="s">
        <v>16</v>
      </c>
      <c r="F42" s="75" t="s">
        <v>16</v>
      </c>
      <c r="G42" s="75" t="s">
        <v>16</v>
      </c>
      <c r="H42" s="75" t="s">
        <v>16</v>
      </c>
      <c r="I42" s="75" t="s">
        <v>16</v>
      </c>
      <c r="J42" s="75" t="s">
        <v>16</v>
      </c>
      <c r="K42" s="25">
        <v>2.0158999999999998</v>
      </c>
      <c r="L42" s="25">
        <v>-4.0000000000000001E-3</v>
      </c>
      <c r="M42" s="25">
        <v>4.7999999999999996E-3</v>
      </c>
      <c r="N42" s="25">
        <v>1.0005999999999999</v>
      </c>
      <c r="O42" s="25">
        <v>286.63</v>
      </c>
      <c r="P42" s="25">
        <v>286.14999999999998</v>
      </c>
      <c r="Q42" s="25">
        <v>285.99</v>
      </c>
      <c r="R42" s="25">
        <v>285.83</v>
      </c>
      <c r="S42" s="25">
        <v>241.56</v>
      </c>
      <c r="T42" s="25">
        <v>241.72</v>
      </c>
      <c r="U42" s="25">
        <v>241.76</v>
      </c>
      <c r="V42" s="25">
        <v>241.81</v>
      </c>
      <c r="W42" s="25">
        <v>0</v>
      </c>
      <c r="X42" s="25">
        <v>0</v>
      </c>
      <c r="Y42" s="25">
        <v>0</v>
      </c>
      <c r="Z42" s="25">
        <v>0</v>
      </c>
      <c r="AA42" s="25">
        <v>0</v>
      </c>
      <c r="AB42" s="25">
        <v>0</v>
      </c>
      <c r="AC42" s="25">
        <v>0</v>
      </c>
      <c r="AD42" s="25">
        <v>0</v>
      </c>
      <c r="AE42" s="25">
        <v>0</v>
      </c>
      <c r="AF42" s="25">
        <v>0</v>
      </c>
      <c r="AG42" s="25">
        <v>0</v>
      </c>
      <c r="AH42" s="25">
        <v>0</v>
      </c>
      <c r="AI42" s="25">
        <v>0</v>
      </c>
      <c r="AJ42" s="25">
        <v>0</v>
      </c>
      <c r="AK42" s="25">
        <v>0</v>
      </c>
      <c r="AL42" s="25">
        <v>0</v>
      </c>
      <c r="AM42" s="26">
        <v>324.17092471184924</v>
      </c>
      <c r="AN42" s="25">
        <v>0</v>
      </c>
      <c r="AO42" s="25">
        <v>0</v>
      </c>
      <c r="AP42" s="25">
        <v>0</v>
      </c>
      <c r="AQ42" s="25" t="e" cm="1">
        <f t="array" aca="1" ref="AQ42" ca="1">VBAProject.LinearInt.lin_int(CONVERT(60,"F","C"),15,20,M42,N42)</f>
        <v>#NAME?</v>
      </c>
      <c r="AR42" s="25" t="e" cm="1">
        <f t="array" aca="1" ref="AR42" ca="1">VBAProject.LinearInt.lin_int(CONVERT(60,"F","C"),15,20,P42,Q42)</f>
        <v>#NAME?</v>
      </c>
    </row>
    <row r="43" spans="1:44" x14ac:dyDescent="0.25">
      <c r="A43" s="25">
        <f t="shared" si="1"/>
        <v>42</v>
      </c>
      <c r="B43" s="25" t="s">
        <v>281</v>
      </c>
      <c r="C43" s="75" t="s">
        <v>34</v>
      </c>
      <c r="D43" s="75" t="s">
        <v>34</v>
      </c>
      <c r="E43" s="75" t="s">
        <v>16</v>
      </c>
      <c r="F43" s="75" t="s">
        <v>16</v>
      </c>
      <c r="G43" s="75" t="s">
        <v>16</v>
      </c>
      <c r="H43" s="75" t="s">
        <v>16</v>
      </c>
      <c r="I43" s="75" t="s">
        <v>16</v>
      </c>
      <c r="J43" s="75" t="s">
        <v>16</v>
      </c>
      <c r="K43" s="25">
        <v>18.0153</v>
      </c>
      <c r="L43" s="25">
        <v>0.2646</v>
      </c>
      <c r="M43" s="25">
        <v>0.23449999999999999</v>
      </c>
      <c r="N43" s="25">
        <v>0.21909999999999999</v>
      </c>
      <c r="O43" s="25">
        <v>45.073999999999998</v>
      </c>
      <c r="P43" s="25">
        <v>44.433</v>
      </c>
      <c r="Q43" s="25">
        <v>44.223999999999997</v>
      </c>
      <c r="R43" s="25">
        <v>44.015999999999998</v>
      </c>
      <c r="S43" s="25">
        <v>0</v>
      </c>
      <c r="T43" s="25">
        <v>0</v>
      </c>
      <c r="U43" s="25">
        <v>0</v>
      </c>
      <c r="V43" s="25">
        <v>0</v>
      </c>
      <c r="W43" s="25">
        <v>0</v>
      </c>
      <c r="X43" s="25">
        <v>0</v>
      </c>
      <c r="Y43" s="25">
        <v>0</v>
      </c>
      <c r="Z43" s="25">
        <v>0</v>
      </c>
      <c r="AA43" s="25">
        <v>0</v>
      </c>
      <c r="AB43" s="25">
        <v>0</v>
      </c>
      <c r="AC43" s="25">
        <v>0</v>
      </c>
      <c r="AD43" s="25">
        <v>0</v>
      </c>
      <c r="AE43" s="25">
        <v>0</v>
      </c>
      <c r="AF43" s="25">
        <v>0</v>
      </c>
      <c r="AG43" s="25">
        <v>0</v>
      </c>
      <c r="AH43" s="25">
        <v>0</v>
      </c>
      <c r="AI43" s="25">
        <v>0</v>
      </c>
      <c r="AJ43" s="25">
        <v>0</v>
      </c>
      <c r="AK43" s="25">
        <v>0</v>
      </c>
      <c r="AL43" s="25">
        <v>0</v>
      </c>
      <c r="AM43" s="25">
        <v>50.311999999999998</v>
      </c>
      <c r="AN43" s="25">
        <v>5.5570000000000001E-2</v>
      </c>
      <c r="AO43" s="25">
        <v>0</v>
      </c>
      <c r="AP43" s="25">
        <v>2.496E-2</v>
      </c>
      <c r="AQ43" s="25" t="e" cm="1">
        <f t="array" aca="1" ref="AQ43" ca="1">VBAProject.LinearInt.lin_int(CONVERT(60,"F","C"),15,20,M43,N43)</f>
        <v>#NAME?</v>
      </c>
      <c r="AR43" s="25" t="e" cm="1">
        <f t="array" aca="1" ref="AR43" ca="1">VBAProject.LinearInt.lin_int(CONVERT(60,"F","C"),15,20,P43,Q43)</f>
        <v>#NAME?</v>
      </c>
    </row>
    <row r="44" spans="1:44" x14ac:dyDescent="0.25">
      <c r="A44" s="25">
        <f t="shared" si="1"/>
        <v>43</v>
      </c>
      <c r="B44" s="25" t="s">
        <v>282</v>
      </c>
      <c r="C44" s="75" t="s">
        <v>35</v>
      </c>
      <c r="D44" s="75" t="s">
        <v>35</v>
      </c>
      <c r="E44" s="75" t="s">
        <v>16</v>
      </c>
      <c r="F44" s="75" t="s">
        <v>16</v>
      </c>
      <c r="G44" s="75" t="s">
        <v>16</v>
      </c>
      <c r="H44" s="75" t="s">
        <v>16</v>
      </c>
      <c r="I44" s="75" t="s">
        <v>16</v>
      </c>
      <c r="J44" s="75" t="s">
        <v>16</v>
      </c>
      <c r="K44" s="25">
        <v>34.082000000000001</v>
      </c>
      <c r="L44" s="25">
        <v>0.1</v>
      </c>
      <c r="M44" s="25">
        <v>0.1</v>
      </c>
      <c r="N44" s="25">
        <v>0.1</v>
      </c>
      <c r="O44" s="25">
        <v>562.94000000000005</v>
      </c>
      <c r="P44" s="25">
        <v>562.38</v>
      </c>
      <c r="Q44" s="25">
        <v>562.19000000000005</v>
      </c>
      <c r="R44" s="25">
        <v>562.01</v>
      </c>
      <c r="S44" s="25">
        <v>517.87</v>
      </c>
      <c r="T44" s="25">
        <v>517.95000000000005</v>
      </c>
      <c r="U44" s="25">
        <v>517.97</v>
      </c>
      <c r="V44" s="25">
        <v>517.99</v>
      </c>
      <c r="W44" s="25">
        <v>0</v>
      </c>
      <c r="X44" s="25">
        <v>0</v>
      </c>
      <c r="Y44" s="25">
        <v>0</v>
      </c>
      <c r="Z44" s="25">
        <v>0</v>
      </c>
      <c r="AA44" s="25">
        <v>0</v>
      </c>
      <c r="AB44" s="25">
        <v>0</v>
      </c>
      <c r="AC44" s="25">
        <v>0</v>
      </c>
      <c r="AD44" s="25">
        <v>0</v>
      </c>
      <c r="AE44" s="25">
        <v>0</v>
      </c>
      <c r="AF44" s="25">
        <v>0</v>
      </c>
      <c r="AG44" s="25">
        <v>0</v>
      </c>
      <c r="AH44" s="25">
        <v>0</v>
      </c>
      <c r="AI44" s="25">
        <v>0</v>
      </c>
      <c r="AJ44" s="25">
        <v>0</v>
      </c>
      <c r="AK44" s="25">
        <v>0</v>
      </c>
      <c r="AL44" s="25">
        <v>0</v>
      </c>
      <c r="AM44" s="25">
        <v>637.11</v>
      </c>
      <c r="AN44" s="25">
        <v>2.4199999999999999E-2</v>
      </c>
      <c r="AO44" s="25">
        <v>23.785</v>
      </c>
      <c r="AP44" s="25">
        <v>9.2599999999999991E-3</v>
      </c>
      <c r="AQ44" s="25" t="e" cm="1">
        <f t="array" aca="1" ref="AQ44" ca="1">VBAProject.LinearInt.lin_int(CONVERT(60,"F","C"),15,20,M44,N44)</f>
        <v>#NAME?</v>
      </c>
      <c r="AR44" s="25" t="e" cm="1">
        <f t="array" aca="1" ref="AR44" ca="1">VBAProject.LinearInt.lin_int(CONVERT(60,"F","C"),15,20,P44,Q44)</f>
        <v>#NAME?</v>
      </c>
    </row>
    <row r="45" spans="1:44" x14ac:dyDescent="0.25">
      <c r="A45" s="25">
        <f t="shared" si="1"/>
        <v>44</v>
      </c>
      <c r="B45" s="25" t="s">
        <v>283</v>
      </c>
      <c r="C45" s="75" t="s">
        <v>284</v>
      </c>
      <c r="D45" s="75" t="s">
        <v>284</v>
      </c>
      <c r="E45" s="75" t="s">
        <v>16</v>
      </c>
      <c r="F45" s="75" t="s">
        <v>16</v>
      </c>
      <c r="G45" s="75" t="s">
        <v>16</v>
      </c>
      <c r="H45" s="75" t="s">
        <v>16</v>
      </c>
      <c r="I45" s="75" t="s">
        <v>16</v>
      </c>
      <c r="J45" s="75" t="s">
        <v>16</v>
      </c>
      <c r="K45" s="25">
        <v>17.0306</v>
      </c>
      <c r="L45" s="25">
        <v>0.1225</v>
      </c>
      <c r="M45" s="25">
        <v>0.1095</v>
      </c>
      <c r="N45" s="25">
        <v>0.10489999999999999</v>
      </c>
      <c r="O45" s="25">
        <v>384.57</v>
      </c>
      <c r="P45" s="25">
        <v>383.51</v>
      </c>
      <c r="Q45" s="25">
        <v>383.16</v>
      </c>
      <c r="R45" s="25">
        <v>382.81</v>
      </c>
      <c r="S45" s="25">
        <v>316.95999999999998</v>
      </c>
      <c r="T45" s="25">
        <v>316.86</v>
      </c>
      <c r="U45" s="25">
        <v>316.82</v>
      </c>
      <c r="V45" s="25">
        <v>316.79000000000002</v>
      </c>
      <c r="W45" s="25">
        <v>0</v>
      </c>
      <c r="X45" s="25">
        <v>0</v>
      </c>
      <c r="Y45" s="25">
        <v>0</v>
      </c>
      <c r="Z45" s="25">
        <v>0</v>
      </c>
      <c r="AA45" s="25">
        <v>0</v>
      </c>
      <c r="AB45" s="25">
        <v>0</v>
      </c>
      <c r="AC45" s="25">
        <v>0</v>
      </c>
      <c r="AD45" s="25">
        <v>0</v>
      </c>
      <c r="AE45" s="25">
        <v>0</v>
      </c>
      <c r="AF45" s="25">
        <v>0</v>
      </c>
      <c r="AG45" s="25">
        <v>0</v>
      </c>
      <c r="AH45" s="25">
        <v>0</v>
      </c>
      <c r="AI45" s="25">
        <v>0</v>
      </c>
      <c r="AJ45" s="25">
        <v>0</v>
      </c>
      <c r="AK45" s="25">
        <v>0</v>
      </c>
      <c r="AL45" s="25">
        <v>0</v>
      </c>
      <c r="AM45" s="26">
        <v>434.45040162442376</v>
      </c>
      <c r="AN45" s="25"/>
      <c r="AO45" s="26">
        <v>16.22</v>
      </c>
      <c r="AP45" s="25"/>
      <c r="AQ45" s="25" t="e" cm="1">
        <f t="array" aca="1" ref="AQ45" ca="1">VBAProject.LinearInt.lin_int(CONVERT(60,"F","C"),15,20,M45,N45)</f>
        <v>#NAME?</v>
      </c>
      <c r="AR45" s="25" t="e" cm="1">
        <f t="array" aca="1" ref="AR45" ca="1">VBAProject.LinearInt.lin_int(CONVERT(60,"F","C"),15,20,P45,Q45)</f>
        <v>#NAME?</v>
      </c>
    </row>
    <row r="46" spans="1:44" x14ac:dyDescent="0.25">
      <c r="A46" s="25">
        <f t="shared" si="1"/>
        <v>45</v>
      </c>
      <c r="B46" s="25" t="s">
        <v>285</v>
      </c>
      <c r="C46" s="75" t="s">
        <v>286</v>
      </c>
      <c r="D46" s="75" t="s">
        <v>286</v>
      </c>
      <c r="E46" s="75" t="s">
        <v>16</v>
      </c>
      <c r="F46" s="75" t="s">
        <v>16</v>
      </c>
      <c r="G46" s="75" t="s">
        <v>16</v>
      </c>
      <c r="H46" s="75" t="s">
        <v>16</v>
      </c>
      <c r="I46" s="75" t="s">
        <v>16</v>
      </c>
      <c r="J46" s="75" t="s">
        <v>16</v>
      </c>
      <c r="K46" s="25">
        <v>27.026</v>
      </c>
      <c r="L46" s="25">
        <v>0.3362</v>
      </c>
      <c r="M46" s="25">
        <v>0.29659999999999997</v>
      </c>
      <c r="N46" s="25">
        <v>0.2828</v>
      </c>
      <c r="O46" s="25">
        <v>671.9</v>
      </c>
      <c r="P46" s="25">
        <v>671.7</v>
      </c>
      <c r="Q46" s="25">
        <v>671.6</v>
      </c>
      <c r="R46" s="25">
        <v>671.5</v>
      </c>
      <c r="S46" s="25">
        <v>649.4</v>
      </c>
      <c r="T46" s="25">
        <v>649.5</v>
      </c>
      <c r="U46" s="25">
        <v>649.5</v>
      </c>
      <c r="V46" s="25">
        <v>649.5</v>
      </c>
      <c r="W46" s="25">
        <v>0</v>
      </c>
      <c r="X46" s="25">
        <v>0</v>
      </c>
      <c r="Y46" s="25">
        <v>0</v>
      </c>
      <c r="Z46" s="25">
        <v>0</v>
      </c>
      <c r="AA46" s="25">
        <v>0</v>
      </c>
      <c r="AB46" s="25">
        <v>0</v>
      </c>
      <c r="AC46" s="25">
        <v>0</v>
      </c>
      <c r="AD46" s="25">
        <v>0</v>
      </c>
      <c r="AE46" s="25">
        <v>0</v>
      </c>
      <c r="AF46" s="25">
        <v>0</v>
      </c>
      <c r="AG46" s="25">
        <v>0</v>
      </c>
      <c r="AH46" s="25">
        <v>0</v>
      </c>
      <c r="AI46" s="25">
        <v>0</v>
      </c>
      <c r="AJ46" s="25">
        <v>0</v>
      </c>
      <c r="AK46" s="25">
        <v>0</v>
      </c>
      <c r="AL46" s="25">
        <v>0</v>
      </c>
      <c r="AM46" s="26">
        <v>760.98335152344725</v>
      </c>
      <c r="AN46" s="25"/>
      <c r="AO46" s="26">
        <v>28.41</v>
      </c>
      <c r="AP46" s="25"/>
      <c r="AQ46" s="25" t="e" cm="1">
        <f t="array" aca="1" ref="AQ46" ca="1">VBAProject.LinearInt.lin_int(CONVERT(60,"F","C"),15,20,M46,N46)</f>
        <v>#NAME?</v>
      </c>
      <c r="AR46" s="25" t="e" cm="1">
        <f t="array" aca="1" ref="AR46" ca="1">VBAProject.LinearInt.lin_int(CONVERT(60,"F","C"),15,20,P46,Q46)</f>
        <v>#NAME?</v>
      </c>
    </row>
    <row r="47" spans="1:44" x14ac:dyDescent="0.25">
      <c r="A47" s="25">
        <f t="shared" si="1"/>
        <v>46</v>
      </c>
      <c r="B47" s="25" t="s">
        <v>287</v>
      </c>
      <c r="C47" s="75" t="s">
        <v>37</v>
      </c>
      <c r="D47" s="75" t="s">
        <v>37</v>
      </c>
      <c r="E47" s="75" t="s">
        <v>16</v>
      </c>
      <c r="F47" s="75" t="s">
        <v>16</v>
      </c>
      <c r="G47" s="75" t="s">
        <v>16</v>
      </c>
      <c r="H47" s="75" t="s">
        <v>16</v>
      </c>
      <c r="I47" s="75" t="s">
        <v>16</v>
      </c>
      <c r="J47" s="75" t="s">
        <v>16</v>
      </c>
      <c r="K47" s="25">
        <v>28.01</v>
      </c>
      <c r="L47" s="25">
        <v>2.6499999999999999E-2</v>
      </c>
      <c r="M47" s="25">
        <v>2.24E-2</v>
      </c>
      <c r="N47" s="25">
        <v>0.02</v>
      </c>
      <c r="O47" s="25">
        <v>282.8</v>
      </c>
      <c r="P47" s="25">
        <v>282.91000000000003</v>
      </c>
      <c r="Q47" s="25">
        <v>282.95</v>
      </c>
      <c r="R47" s="25">
        <v>282.98</v>
      </c>
      <c r="S47" s="25">
        <v>282.8</v>
      </c>
      <c r="T47" s="25">
        <v>282.91000000000003</v>
      </c>
      <c r="U47" s="25">
        <v>282.95</v>
      </c>
      <c r="V47" s="25">
        <v>282.98</v>
      </c>
      <c r="W47" s="25">
        <v>0</v>
      </c>
      <c r="X47" s="25">
        <v>0</v>
      </c>
      <c r="Y47" s="25">
        <v>0</v>
      </c>
      <c r="Z47" s="25">
        <v>0</v>
      </c>
      <c r="AA47" s="25">
        <v>0</v>
      </c>
      <c r="AB47" s="25">
        <v>0</v>
      </c>
      <c r="AC47" s="25">
        <v>0</v>
      </c>
      <c r="AD47" s="25">
        <v>0</v>
      </c>
      <c r="AE47" s="25">
        <v>0</v>
      </c>
      <c r="AF47" s="25">
        <v>0</v>
      </c>
      <c r="AG47" s="25">
        <v>0</v>
      </c>
      <c r="AH47" s="25">
        <v>0</v>
      </c>
      <c r="AI47" s="25">
        <v>0</v>
      </c>
      <c r="AJ47" s="25">
        <v>0</v>
      </c>
      <c r="AK47" s="25">
        <v>0</v>
      </c>
      <c r="AL47" s="25">
        <v>0</v>
      </c>
      <c r="AM47" s="26">
        <v>320.52499336870835</v>
      </c>
      <c r="AN47" s="25"/>
      <c r="AO47" s="26">
        <v>11.96</v>
      </c>
      <c r="AP47" s="25"/>
      <c r="AQ47" s="25" t="e" cm="1">
        <f t="array" aca="1" ref="AQ47" ca="1">VBAProject.LinearInt.lin_int(CONVERT(60,"F","C"),15,20,M47,N47)</f>
        <v>#NAME?</v>
      </c>
      <c r="AR47" s="25" t="e" cm="1">
        <f t="array" aca="1" ref="AR47" ca="1">VBAProject.LinearInt.lin_int(CONVERT(60,"F","C"),15,20,P47,Q47)</f>
        <v>#NAME?</v>
      </c>
    </row>
    <row r="48" spans="1:44" x14ac:dyDescent="0.25">
      <c r="A48" s="25">
        <f t="shared" si="1"/>
        <v>47</v>
      </c>
      <c r="B48" s="25" t="s">
        <v>288</v>
      </c>
      <c r="C48" s="75" t="s">
        <v>289</v>
      </c>
      <c r="D48" s="75" t="s">
        <v>289</v>
      </c>
      <c r="E48" s="75" t="s">
        <v>16</v>
      </c>
      <c r="F48" s="75" t="s">
        <v>16</v>
      </c>
      <c r="G48" s="75" t="s">
        <v>16</v>
      </c>
      <c r="H48" s="75" t="s">
        <v>16</v>
      </c>
      <c r="I48" s="75" t="s">
        <v>16</v>
      </c>
      <c r="J48" s="75" t="s">
        <v>16</v>
      </c>
      <c r="K48" s="25">
        <v>60.076000000000001</v>
      </c>
      <c r="L48" s="25">
        <v>0.1225</v>
      </c>
      <c r="M48" s="25">
        <v>0.114</v>
      </c>
      <c r="N48" s="25">
        <v>0.1095</v>
      </c>
      <c r="O48" s="25">
        <v>548.01</v>
      </c>
      <c r="P48" s="25">
        <v>548.15</v>
      </c>
      <c r="Q48" s="25">
        <v>548.19000000000005</v>
      </c>
      <c r="R48" s="25">
        <v>548.23</v>
      </c>
      <c r="S48" s="25">
        <v>548.01</v>
      </c>
      <c r="T48" s="25">
        <v>548.15</v>
      </c>
      <c r="U48" s="25">
        <v>548.15</v>
      </c>
      <c r="V48" s="25">
        <v>548.23</v>
      </c>
      <c r="W48" s="25">
        <v>0</v>
      </c>
      <c r="X48" s="25">
        <v>0</v>
      </c>
      <c r="Y48" s="25">
        <v>0</v>
      </c>
      <c r="Z48" s="25">
        <v>0</v>
      </c>
      <c r="AA48" s="25">
        <v>0</v>
      </c>
      <c r="AB48" s="25">
        <v>0</v>
      </c>
      <c r="AC48" s="25">
        <v>0</v>
      </c>
      <c r="AD48" s="25">
        <v>0</v>
      </c>
      <c r="AE48" s="25">
        <v>0</v>
      </c>
      <c r="AF48" s="25">
        <v>0</v>
      </c>
      <c r="AG48" s="25">
        <v>0</v>
      </c>
      <c r="AH48" s="25">
        <v>0</v>
      </c>
      <c r="AI48" s="25">
        <v>0</v>
      </c>
      <c r="AJ48" s="25">
        <v>0</v>
      </c>
      <c r="AK48" s="25">
        <v>0</v>
      </c>
      <c r="AL48" s="25">
        <v>0</v>
      </c>
      <c r="AM48" s="26">
        <v>621.02597943507624</v>
      </c>
      <c r="AN48" s="25"/>
      <c r="AO48" s="26">
        <v>23.18</v>
      </c>
      <c r="AP48" s="25"/>
      <c r="AQ48" s="25" t="e" cm="1">
        <f t="array" aca="1" ref="AQ48" ca="1">VBAProject.LinearInt.lin_int(CONVERT(60,"F","C"),15,20,M48,N48)</f>
        <v>#NAME?</v>
      </c>
      <c r="AR48" s="25" t="e" cm="1">
        <f t="array" aca="1" ref="AR48" ca="1">VBAProject.LinearInt.lin_int(CONVERT(60,"F","C"),15,20,P48,Q48)</f>
        <v>#NAME?</v>
      </c>
    </row>
    <row r="49" spans="1:44" x14ac:dyDescent="0.25">
      <c r="A49" s="25">
        <f t="shared" si="1"/>
        <v>48</v>
      </c>
      <c r="B49" s="25" t="s">
        <v>290</v>
      </c>
      <c r="C49" s="75" t="s">
        <v>291</v>
      </c>
      <c r="D49" s="75" t="s">
        <v>291</v>
      </c>
      <c r="E49" s="75" t="s">
        <v>16</v>
      </c>
      <c r="F49" s="75" t="s">
        <v>16</v>
      </c>
      <c r="G49" s="75" t="s">
        <v>16</v>
      </c>
      <c r="H49" s="75" t="s">
        <v>16</v>
      </c>
      <c r="I49" s="75" t="s">
        <v>16</v>
      </c>
      <c r="J49" s="75" t="s">
        <v>16</v>
      </c>
      <c r="K49" s="25">
        <v>76.143000000000001</v>
      </c>
      <c r="L49" s="25">
        <v>0.2145</v>
      </c>
      <c r="M49" s="25">
        <v>0.19489999999999999</v>
      </c>
      <c r="N49" s="25">
        <v>0.18709999999999999</v>
      </c>
      <c r="O49" s="25">
        <v>1104.06</v>
      </c>
      <c r="P49" s="25">
        <v>1104.32</v>
      </c>
      <c r="Q49" s="25">
        <v>1104.4100000000001</v>
      </c>
      <c r="R49" s="25">
        <v>1104.49</v>
      </c>
      <c r="S49" s="25">
        <v>1104.06</v>
      </c>
      <c r="T49" s="25">
        <v>1104.32</v>
      </c>
      <c r="U49" s="25">
        <v>1104.4100000000001</v>
      </c>
      <c r="V49" s="25">
        <v>1104.49</v>
      </c>
      <c r="W49" s="25">
        <v>0</v>
      </c>
      <c r="X49" s="25">
        <v>0</v>
      </c>
      <c r="Y49" s="25">
        <v>0</v>
      </c>
      <c r="Z49" s="25">
        <v>0</v>
      </c>
      <c r="AA49" s="25">
        <v>0</v>
      </c>
      <c r="AB49" s="25">
        <v>0</v>
      </c>
      <c r="AC49" s="25">
        <v>0</v>
      </c>
      <c r="AD49" s="25">
        <v>0</v>
      </c>
      <c r="AE49" s="25">
        <v>0</v>
      </c>
      <c r="AF49" s="25">
        <v>0</v>
      </c>
      <c r="AG49" s="25">
        <v>0</v>
      </c>
      <c r="AH49" s="25">
        <v>0</v>
      </c>
      <c r="AI49" s="25">
        <v>0</v>
      </c>
      <c r="AJ49" s="25">
        <v>0</v>
      </c>
      <c r="AK49" s="25">
        <v>0</v>
      </c>
      <c r="AL49" s="25">
        <v>0</v>
      </c>
      <c r="AM49" s="26">
        <v>1251.1393767804311</v>
      </c>
      <c r="AN49" s="25"/>
      <c r="AO49" s="26">
        <v>46.7</v>
      </c>
      <c r="AP49" s="25"/>
      <c r="AQ49" s="25" t="e" cm="1">
        <f t="array" aca="1" ref="AQ49" ca="1">VBAProject.LinearInt.lin_int(CONVERT(60,"F","C"),15,20,M49,N49)</f>
        <v>#NAME?</v>
      </c>
      <c r="AR49" s="25" t="e" cm="1">
        <f t="array" aca="1" ref="AR49" ca="1">VBAProject.LinearInt.lin_int(CONVERT(60,"F","C"),15,20,P49,Q49)</f>
        <v>#NAME?</v>
      </c>
    </row>
    <row r="50" spans="1:44" x14ac:dyDescent="0.25">
      <c r="A50" s="25">
        <f t="shared" si="1"/>
        <v>49</v>
      </c>
      <c r="B50" s="25" t="s">
        <v>292</v>
      </c>
      <c r="C50" s="75" t="s">
        <v>32</v>
      </c>
      <c r="D50" s="75" t="s">
        <v>32</v>
      </c>
      <c r="E50" s="75" t="s">
        <v>16</v>
      </c>
      <c r="F50" s="75" t="s">
        <v>16</v>
      </c>
      <c r="G50" s="75" t="s">
        <v>16</v>
      </c>
      <c r="H50" s="75" t="s">
        <v>16</v>
      </c>
      <c r="I50" s="75" t="s">
        <v>16</v>
      </c>
      <c r="J50" s="75" t="s">
        <v>16</v>
      </c>
      <c r="K50" s="25">
        <v>4.0026000000000002</v>
      </c>
      <c r="L50" s="25">
        <v>5.9999999999999995E-4</v>
      </c>
      <c r="M50" s="25">
        <v>2.0000000000000001E-4</v>
      </c>
      <c r="N50" s="25">
        <v>1.0004999999999999</v>
      </c>
      <c r="O50" s="25">
        <v>0</v>
      </c>
      <c r="P50" s="25">
        <v>0</v>
      </c>
      <c r="Q50" s="25">
        <v>0</v>
      </c>
      <c r="R50" s="25">
        <v>0</v>
      </c>
      <c r="S50" s="25">
        <v>0</v>
      </c>
      <c r="T50" s="25">
        <v>0</v>
      </c>
      <c r="U50" s="25">
        <v>0</v>
      </c>
      <c r="V50" s="25">
        <v>0</v>
      </c>
      <c r="W50" s="25">
        <v>0</v>
      </c>
      <c r="X50" s="25">
        <v>0</v>
      </c>
      <c r="Y50" s="25">
        <v>0</v>
      </c>
      <c r="Z50" s="25">
        <v>0</v>
      </c>
      <c r="AA50" s="25">
        <v>0</v>
      </c>
      <c r="AB50" s="25">
        <v>0</v>
      </c>
      <c r="AC50" s="25">
        <v>0</v>
      </c>
      <c r="AD50" s="25">
        <v>0</v>
      </c>
      <c r="AE50" s="25">
        <v>0</v>
      </c>
      <c r="AF50" s="25">
        <v>0</v>
      </c>
      <c r="AG50" s="25">
        <v>0</v>
      </c>
      <c r="AH50" s="25">
        <v>0</v>
      </c>
      <c r="AI50" s="25">
        <v>0</v>
      </c>
      <c r="AJ50" s="25">
        <v>0</v>
      </c>
      <c r="AK50" s="25">
        <v>0</v>
      </c>
      <c r="AL50" s="25">
        <v>0</v>
      </c>
      <c r="AM50" s="26">
        <v>0</v>
      </c>
      <c r="AN50" s="25">
        <v>0</v>
      </c>
      <c r="AO50" s="25">
        <v>0</v>
      </c>
      <c r="AP50" s="25">
        <v>0</v>
      </c>
      <c r="AQ50" s="25" t="e" cm="1">
        <f t="array" aca="1" ref="AQ50" ca="1">VBAProject.LinearInt.lin_int(CONVERT(60,"F","C"),15,20,M50,N50)</f>
        <v>#NAME?</v>
      </c>
      <c r="AR50" s="25" t="e" cm="1">
        <f t="array" aca="1" ref="AR50" ca="1">VBAProject.LinearInt.lin_int(CONVERT(60,"F","C"),15,20,P50,Q50)</f>
        <v>#NAME?</v>
      </c>
    </row>
    <row r="51" spans="1:44" x14ac:dyDescent="0.25">
      <c r="A51" s="25">
        <f t="shared" si="1"/>
        <v>50</v>
      </c>
      <c r="B51" s="25" t="s">
        <v>293</v>
      </c>
      <c r="C51" s="75" t="s">
        <v>294</v>
      </c>
      <c r="D51" s="75" t="s">
        <v>294</v>
      </c>
      <c r="E51" s="75" t="s">
        <v>16</v>
      </c>
      <c r="F51" s="75" t="s">
        <v>16</v>
      </c>
      <c r="G51" s="75" t="s">
        <v>16</v>
      </c>
      <c r="H51" s="75" t="s">
        <v>16</v>
      </c>
      <c r="I51" s="75" t="s">
        <v>16</v>
      </c>
      <c r="J51" s="75" t="s">
        <v>16</v>
      </c>
      <c r="K51" s="25">
        <v>20.1797</v>
      </c>
      <c r="L51" s="25">
        <v>5.9999999999999995E-4</v>
      </c>
      <c r="M51" s="25">
        <v>2.0000000000000001E-4</v>
      </c>
      <c r="N51" s="25">
        <v>1.0004999999999999</v>
      </c>
      <c r="O51" s="25">
        <v>0</v>
      </c>
      <c r="P51" s="25">
        <v>0</v>
      </c>
      <c r="Q51" s="25">
        <v>0</v>
      </c>
      <c r="R51" s="25">
        <v>0</v>
      </c>
      <c r="S51" s="25">
        <v>0</v>
      </c>
      <c r="T51" s="25">
        <v>0</v>
      </c>
      <c r="U51" s="25">
        <v>0</v>
      </c>
      <c r="V51" s="25">
        <v>0</v>
      </c>
      <c r="W51" s="25">
        <v>0</v>
      </c>
      <c r="X51" s="25">
        <v>0</v>
      </c>
      <c r="Y51" s="25">
        <v>0</v>
      </c>
      <c r="Z51" s="25">
        <v>0</v>
      </c>
      <c r="AA51" s="25">
        <v>0</v>
      </c>
      <c r="AB51" s="25">
        <v>0</v>
      </c>
      <c r="AC51" s="25">
        <v>0</v>
      </c>
      <c r="AD51" s="25">
        <v>0</v>
      </c>
      <c r="AE51" s="25">
        <v>0</v>
      </c>
      <c r="AF51" s="25">
        <v>0</v>
      </c>
      <c r="AG51" s="25">
        <v>0</v>
      </c>
      <c r="AH51" s="25">
        <v>0</v>
      </c>
      <c r="AI51" s="25">
        <v>0</v>
      </c>
      <c r="AJ51" s="25">
        <v>0</v>
      </c>
      <c r="AK51" s="25">
        <v>0</v>
      </c>
      <c r="AL51" s="25">
        <v>0</v>
      </c>
      <c r="AM51" s="26">
        <v>0</v>
      </c>
      <c r="AN51" s="25"/>
      <c r="AO51" s="26">
        <v>0</v>
      </c>
      <c r="AP51" s="25"/>
      <c r="AQ51" s="25" t="e" cm="1">
        <f t="array" aca="1" ref="AQ51" ca="1">VBAProject.LinearInt.lin_int(CONVERT(60,"F","C"),15,20,M51,N51)</f>
        <v>#NAME?</v>
      </c>
      <c r="AR51" s="25" t="e" cm="1">
        <f t="array" aca="1" ref="AR51" ca="1">VBAProject.LinearInt.lin_int(CONVERT(60,"F","C"),15,20,P51,Q51)</f>
        <v>#NAME?</v>
      </c>
    </row>
    <row r="52" spans="1:44" x14ac:dyDescent="0.25">
      <c r="A52" s="25">
        <f t="shared" si="1"/>
        <v>51</v>
      </c>
      <c r="B52" s="25" t="s">
        <v>295</v>
      </c>
      <c r="C52" s="75" t="s">
        <v>33</v>
      </c>
      <c r="D52" s="75" t="s">
        <v>33</v>
      </c>
      <c r="E52" s="75" t="s">
        <v>16</v>
      </c>
      <c r="F52" s="75" t="s">
        <v>16</v>
      </c>
      <c r="G52" s="75" t="s">
        <v>16</v>
      </c>
      <c r="H52" s="75" t="s">
        <v>16</v>
      </c>
      <c r="I52" s="75" t="s">
        <v>16</v>
      </c>
      <c r="J52" s="75" t="s">
        <v>16</v>
      </c>
      <c r="K52" s="25">
        <v>39.948</v>
      </c>
      <c r="L52" s="25">
        <v>3.1600000000000003E-2</v>
      </c>
      <c r="M52" s="25">
        <v>2.8299999999999999E-2</v>
      </c>
      <c r="N52" s="25">
        <v>2.6499999999999999E-2</v>
      </c>
      <c r="O52" s="25">
        <v>0</v>
      </c>
      <c r="P52" s="25">
        <v>0</v>
      </c>
      <c r="Q52" s="25">
        <v>0</v>
      </c>
      <c r="R52" s="25">
        <v>0</v>
      </c>
      <c r="S52" s="25">
        <v>0</v>
      </c>
      <c r="T52" s="25">
        <v>0</v>
      </c>
      <c r="U52" s="25">
        <v>0</v>
      </c>
      <c r="V52" s="25">
        <v>0</v>
      </c>
      <c r="W52" s="25">
        <v>0</v>
      </c>
      <c r="X52" s="25">
        <v>0</v>
      </c>
      <c r="Y52" s="25">
        <v>0</v>
      </c>
      <c r="Z52" s="25">
        <v>0</v>
      </c>
      <c r="AA52" s="25">
        <v>0</v>
      </c>
      <c r="AB52" s="25">
        <v>0</v>
      </c>
      <c r="AC52" s="25">
        <v>0</v>
      </c>
      <c r="AD52" s="25">
        <v>0</v>
      </c>
      <c r="AE52" s="25">
        <v>0</v>
      </c>
      <c r="AF52" s="25">
        <v>0</v>
      </c>
      <c r="AG52" s="25">
        <v>0</v>
      </c>
      <c r="AH52" s="25">
        <v>0</v>
      </c>
      <c r="AI52" s="25">
        <v>0</v>
      </c>
      <c r="AJ52" s="25">
        <v>0</v>
      </c>
      <c r="AK52" s="25">
        <v>0</v>
      </c>
      <c r="AL52" s="25">
        <v>0</v>
      </c>
      <c r="AM52" s="26">
        <v>0</v>
      </c>
      <c r="AN52" s="25"/>
      <c r="AO52" s="26">
        <v>0</v>
      </c>
      <c r="AP52" s="25"/>
      <c r="AQ52" s="25" t="e" cm="1">
        <f t="array" aca="1" ref="AQ52" ca="1">VBAProject.LinearInt.lin_int(CONVERT(60,"F","C"),15,20,M52,N52)</f>
        <v>#NAME?</v>
      </c>
      <c r="AR52" s="25" t="e" cm="1">
        <f t="array" aca="1" ref="AR52" ca="1">VBAProject.LinearInt.lin_int(CONVERT(60,"F","C"),15,20,P52,Q52)</f>
        <v>#NAME?</v>
      </c>
    </row>
    <row r="53" spans="1:44" x14ac:dyDescent="0.25">
      <c r="A53" s="25">
        <f t="shared" si="1"/>
        <v>52</v>
      </c>
      <c r="B53" s="25" t="s">
        <v>296</v>
      </c>
      <c r="C53" s="75" t="s">
        <v>17</v>
      </c>
      <c r="D53" s="75" t="s">
        <v>17</v>
      </c>
      <c r="E53" s="75" t="s">
        <v>16</v>
      </c>
      <c r="F53" s="75" t="s">
        <v>16</v>
      </c>
      <c r="G53" s="75" t="s">
        <v>16</v>
      </c>
      <c r="H53" s="75" t="s">
        <v>16</v>
      </c>
      <c r="I53" s="75" t="s">
        <v>16</v>
      </c>
      <c r="J53" s="75" t="s">
        <v>16</v>
      </c>
      <c r="K53" s="25">
        <v>28.013500000000001</v>
      </c>
      <c r="L53" s="25">
        <v>2.24E-2</v>
      </c>
      <c r="M53" s="25">
        <v>1.7299999999999999E-2</v>
      </c>
      <c r="N53" s="25">
        <v>1.7299999999999999E-2</v>
      </c>
      <c r="O53" s="25">
        <v>0</v>
      </c>
      <c r="P53" s="25">
        <v>0</v>
      </c>
      <c r="Q53" s="25">
        <v>0</v>
      </c>
      <c r="R53" s="25">
        <v>0</v>
      </c>
      <c r="S53" s="25">
        <v>0</v>
      </c>
      <c r="T53" s="25">
        <v>0</v>
      </c>
      <c r="U53" s="25">
        <v>0</v>
      </c>
      <c r="V53" s="25">
        <v>0</v>
      </c>
      <c r="W53" s="25">
        <v>0</v>
      </c>
      <c r="X53" s="25">
        <v>0</v>
      </c>
      <c r="Y53" s="25">
        <v>0</v>
      </c>
      <c r="Z53" s="25">
        <v>0</v>
      </c>
      <c r="AA53" s="25">
        <v>0</v>
      </c>
      <c r="AB53" s="25">
        <v>0</v>
      </c>
      <c r="AC53" s="25">
        <v>0</v>
      </c>
      <c r="AD53" s="25">
        <v>3.8407999999999998E-2</v>
      </c>
      <c r="AE53" s="25">
        <v>3.9948999999999998E-2</v>
      </c>
      <c r="AF53" s="25">
        <v>4.1787999999999999E-2</v>
      </c>
      <c r="AG53" s="25">
        <v>4.4042999999999999E-2</v>
      </c>
      <c r="AH53" s="25">
        <v>4.7018999999999998E-2</v>
      </c>
      <c r="AI53" s="25">
        <v>5.1021999999999998E-2</v>
      </c>
      <c r="AJ53" s="25">
        <v>5.5897000000000002E-2</v>
      </c>
      <c r="AK53" s="25">
        <v>6.1767000000000002E-2</v>
      </c>
      <c r="AL53" s="25">
        <v>6.9064E-2</v>
      </c>
      <c r="AM53" s="26">
        <v>0</v>
      </c>
      <c r="AN53" s="25">
        <v>4.4200000000000003E-3</v>
      </c>
      <c r="AO53" s="25">
        <v>0</v>
      </c>
      <c r="AP53" s="25">
        <v>1.6999999999999999E-3</v>
      </c>
      <c r="AQ53" s="25" t="e" cm="1">
        <f t="array" aca="1" ref="AQ53" ca="1">VBAProject.LinearInt.lin_int(CONVERT(60,"F","C"),15,20,M53,N53)</f>
        <v>#NAME?</v>
      </c>
      <c r="AR53" s="25" t="e" cm="1">
        <f t="array" aca="1" ref="AR53" ca="1">VBAProject.LinearInt.lin_int(CONVERT(60,"F","C"),15,20,P53,Q53)</f>
        <v>#NAME?</v>
      </c>
    </row>
    <row r="54" spans="1:44" x14ac:dyDescent="0.25">
      <c r="A54" s="25">
        <f t="shared" si="1"/>
        <v>53</v>
      </c>
      <c r="B54" s="25" t="s">
        <v>297</v>
      </c>
      <c r="C54" s="75" t="s">
        <v>38</v>
      </c>
      <c r="D54" s="75" t="s">
        <v>38</v>
      </c>
      <c r="E54" s="75" t="s">
        <v>16</v>
      </c>
      <c r="F54" s="75" t="s">
        <v>16</v>
      </c>
      <c r="G54" s="75" t="s">
        <v>16</v>
      </c>
      <c r="H54" s="75" t="s">
        <v>16</v>
      </c>
      <c r="I54" s="75" t="s">
        <v>16</v>
      </c>
      <c r="J54" s="75" t="s">
        <v>16</v>
      </c>
      <c r="K54" s="25">
        <v>31.998799999999999</v>
      </c>
      <c r="L54" s="25">
        <v>3.1600000000000003E-2</v>
      </c>
      <c r="M54" s="25">
        <v>2.8299999999999999E-2</v>
      </c>
      <c r="N54" s="25">
        <v>2.6499999999999999E-2</v>
      </c>
      <c r="O54" s="25">
        <v>0</v>
      </c>
      <c r="P54" s="25">
        <v>0</v>
      </c>
      <c r="Q54" s="25">
        <v>0</v>
      </c>
      <c r="R54" s="25">
        <v>0</v>
      </c>
      <c r="S54" s="25">
        <v>0</v>
      </c>
      <c r="T54" s="25">
        <v>0</v>
      </c>
      <c r="U54" s="25">
        <v>0</v>
      </c>
      <c r="V54" s="25">
        <v>0</v>
      </c>
      <c r="W54" s="25">
        <v>0</v>
      </c>
      <c r="X54" s="25">
        <v>0</v>
      </c>
      <c r="Y54" s="25">
        <v>0</v>
      </c>
      <c r="Z54" s="25">
        <v>0</v>
      </c>
      <c r="AA54" s="25">
        <v>0</v>
      </c>
      <c r="AB54" s="25">
        <v>0</v>
      </c>
      <c r="AC54" s="25">
        <v>0</v>
      </c>
      <c r="AD54" s="25">
        <v>0</v>
      </c>
      <c r="AE54" s="25">
        <v>0</v>
      </c>
      <c r="AF54" s="25">
        <v>2.98E-2</v>
      </c>
      <c r="AG54" s="25">
        <v>3.0609999999999998E-2</v>
      </c>
      <c r="AH54" s="25">
        <v>3.1510000000000003E-2</v>
      </c>
      <c r="AI54" s="25">
        <v>3.252E-2</v>
      </c>
      <c r="AJ54" s="25">
        <v>3.3669999999999999E-2</v>
      </c>
      <c r="AK54" s="25">
        <v>0</v>
      </c>
      <c r="AL54" s="25">
        <v>0</v>
      </c>
      <c r="AM54" s="26">
        <v>0</v>
      </c>
      <c r="AN54" s="25">
        <v>7.1999999999999998E-3</v>
      </c>
      <c r="AO54" s="25">
        <v>0</v>
      </c>
      <c r="AP54" s="25">
        <v>0</v>
      </c>
      <c r="AQ54" s="25" t="e" cm="1">
        <f t="array" aca="1" ref="AQ54" ca="1">VBAProject.LinearInt.lin_int(CONVERT(60,"F","C"),15,20,M54,N54)</f>
        <v>#NAME?</v>
      </c>
      <c r="AR54" s="25" t="e" cm="1">
        <f t="array" aca="1" ref="AR54" ca="1">VBAProject.LinearInt.lin_int(CONVERT(60,"F","C"),15,20,P54,Q54)</f>
        <v>#NAME?</v>
      </c>
    </row>
    <row r="55" spans="1:44" x14ac:dyDescent="0.25">
      <c r="A55" s="25">
        <f t="shared" si="1"/>
        <v>54</v>
      </c>
      <c r="B55" s="25" t="s">
        <v>298</v>
      </c>
      <c r="C55" s="75" t="s">
        <v>14</v>
      </c>
      <c r="D55" s="75" t="s">
        <v>14</v>
      </c>
      <c r="E55" s="75" t="s">
        <v>16</v>
      </c>
      <c r="F55" s="75" t="s">
        <v>16</v>
      </c>
      <c r="G55" s="75" t="s">
        <v>16</v>
      </c>
      <c r="H55" s="75" t="s">
        <v>16</v>
      </c>
      <c r="I55" s="75" t="s">
        <v>16</v>
      </c>
      <c r="J55" s="75" t="s">
        <v>16</v>
      </c>
      <c r="K55" s="25">
        <v>44.01</v>
      </c>
      <c r="L55" s="25">
        <v>8.1900000000000001E-2</v>
      </c>
      <c r="M55" s="25">
        <v>7.4800000000000005E-2</v>
      </c>
      <c r="N55" s="25">
        <v>7.2800000000000004E-2</v>
      </c>
      <c r="O55" s="25">
        <v>0</v>
      </c>
      <c r="P55" s="25">
        <v>0</v>
      </c>
      <c r="Q55" s="25">
        <v>0</v>
      </c>
      <c r="R55" s="25">
        <v>0</v>
      </c>
      <c r="S55" s="25">
        <v>0</v>
      </c>
      <c r="T55" s="25">
        <v>0</v>
      </c>
      <c r="U55" s="25">
        <v>0</v>
      </c>
      <c r="V55" s="25">
        <v>0</v>
      </c>
      <c r="W55" s="25">
        <v>0</v>
      </c>
      <c r="X55" s="25">
        <v>0</v>
      </c>
      <c r="Y55" s="25">
        <v>0</v>
      </c>
      <c r="Z55" s="25">
        <v>0</v>
      </c>
      <c r="AA55" s="25">
        <v>0</v>
      </c>
      <c r="AB55" s="25">
        <v>0</v>
      </c>
      <c r="AC55" s="25">
        <v>0</v>
      </c>
      <c r="AD55" s="25">
        <v>0</v>
      </c>
      <c r="AE55" s="25">
        <v>0</v>
      </c>
      <c r="AF55" s="25">
        <v>0</v>
      </c>
      <c r="AG55" s="25">
        <v>0</v>
      </c>
      <c r="AH55" s="25">
        <v>0</v>
      </c>
      <c r="AI55" s="25">
        <v>0</v>
      </c>
      <c r="AJ55" s="25">
        <v>0</v>
      </c>
      <c r="AK55" s="25">
        <v>0</v>
      </c>
      <c r="AL55" s="25">
        <v>0</v>
      </c>
      <c r="AM55" s="26">
        <v>0</v>
      </c>
      <c r="AN55" s="25">
        <v>1.95E-2</v>
      </c>
      <c r="AO55" s="25">
        <v>0</v>
      </c>
      <c r="AP55" s="25">
        <v>0</v>
      </c>
      <c r="AQ55" s="25" t="e" cm="1">
        <f t="array" aca="1" ref="AQ55" ca="1">VBAProject.LinearInt.lin_int(CONVERT(60,"F","C"),15,20,M55,N55)</f>
        <v>#NAME?</v>
      </c>
      <c r="AR55" s="25" t="e" cm="1">
        <f t="array" aca="1" ref="AR55" ca="1">VBAProject.LinearInt.lin_int(CONVERT(60,"F","C"),15,20,P55,Q55)</f>
        <v>#NAME?</v>
      </c>
    </row>
    <row r="56" spans="1:44" x14ac:dyDescent="0.25">
      <c r="A56" s="25">
        <f t="shared" si="1"/>
        <v>55</v>
      </c>
      <c r="B56" s="25" t="s">
        <v>299</v>
      </c>
      <c r="C56" s="75" t="s">
        <v>300</v>
      </c>
      <c r="D56" s="75" t="s">
        <v>300</v>
      </c>
      <c r="E56" s="75" t="s">
        <v>16</v>
      </c>
      <c r="F56" s="75" t="s">
        <v>16</v>
      </c>
      <c r="G56" s="75" t="s">
        <v>16</v>
      </c>
      <c r="H56" s="75" t="s">
        <v>16</v>
      </c>
      <c r="I56" s="75" t="s">
        <v>16</v>
      </c>
      <c r="J56" s="75" t="s">
        <v>16</v>
      </c>
      <c r="K56" s="25">
        <v>64.064999999999998</v>
      </c>
      <c r="L56" s="25">
        <v>0.15490000000000001</v>
      </c>
      <c r="M56" s="25">
        <v>0.1449</v>
      </c>
      <c r="N56" s="25">
        <v>0.1414</v>
      </c>
      <c r="O56" s="25">
        <v>0</v>
      </c>
      <c r="P56" s="25">
        <v>0</v>
      </c>
      <c r="Q56" s="25">
        <v>0</v>
      </c>
      <c r="R56" s="25">
        <v>0</v>
      </c>
      <c r="S56" s="25">
        <v>0</v>
      </c>
      <c r="T56" s="25">
        <v>0</v>
      </c>
      <c r="U56" s="25">
        <v>0</v>
      </c>
      <c r="V56" s="25">
        <v>0</v>
      </c>
      <c r="W56" s="25">
        <v>0</v>
      </c>
      <c r="X56" s="25">
        <v>0</v>
      </c>
      <c r="Y56" s="25">
        <v>0</v>
      </c>
      <c r="Z56" s="25">
        <v>0</v>
      </c>
      <c r="AA56" s="25">
        <v>0</v>
      </c>
      <c r="AB56" s="25">
        <v>0</v>
      </c>
      <c r="AC56" s="25">
        <v>0</v>
      </c>
      <c r="AD56" s="25">
        <v>0</v>
      </c>
      <c r="AE56" s="25">
        <v>0</v>
      </c>
      <c r="AF56" s="25">
        <v>0</v>
      </c>
      <c r="AG56" s="25">
        <v>0</v>
      </c>
      <c r="AH56" s="25">
        <v>0</v>
      </c>
      <c r="AI56" s="25">
        <v>0</v>
      </c>
      <c r="AJ56" s="25">
        <v>0</v>
      </c>
      <c r="AK56" s="25">
        <v>0</v>
      </c>
      <c r="AL56" s="25">
        <v>0</v>
      </c>
      <c r="AM56" s="26">
        <v>0</v>
      </c>
      <c r="AN56" s="25">
        <v>0</v>
      </c>
      <c r="AO56" s="25">
        <v>0</v>
      </c>
      <c r="AP56" s="25">
        <v>0</v>
      </c>
      <c r="AQ56" s="25" t="e" cm="1">
        <f t="array" aca="1" ref="AQ56" ca="1">VBAProject.LinearInt.lin_int(CONVERT(60,"F","C"),15,20,M56,N56)</f>
        <v>#NAME?</v>
      </c>
      <c r="AR56" s="25" t="e" cm="1">
        <f t="array" aca="1" ref="AR56" ca="1">VBAProject.LinearInt.lin_int(CONVERT(60,"F","C"),15,20,P56,Q56)</f>
        <v>#NAME?</v>
      </c>
    </row>
    <row r="57" spans="1:44" x14ac:dyDescent="0.25">
      <c r="A57" s="25">
        <f t="shared" si="1"/>
        <v>56</v>
      </c>
      <c r="B57" s="25" t="s">
        <v>301</v>
      </c>
      <c r="C57" s="75" t="s">
        <v>302</v>
      </c>
      <c r="D57" s="75" t="s">
        <v>302</v>
      </c>
      <c r="E57" s="75" t="s">
        <v>16</v>
      </c>
      <c r="F57" s="75" t="s">
        <v>16</v>
      </c>
      <c r="G57" s="75" t="s">
        <v>16</v>
      </c>
      <c r="H57" s="75" t="s">
        <v>16</v>
      </c>
      <c r="I57" s="75" t="s">
        <v>16</v>
      </c>
      <c r="J57" s="75" t="s">
        <v>16</v>
      </c>
      <c r="K57" s="25">
        <v>44.012900000000002</v>
      </c>
      <c r="L57" s="25">
        <v>0</v>
      </c>
      <c r="M57" s="25">
        <v>0</v>
      </c>
      <c r="N57" s="25">
        <v>0</v>
      </c>
      <c r="O57" s="25">
        <v>0</v>
      </c>
      <c r="P57" s="25">
        <v>0</v>
      </c>
      <c r="Q57" s="25">
        <v>0</v>
      </c>
      <c r="R57" s="25">
        <v>0</v>
      </c>
      <c r="S57" s="25">
        <v>0</v>
      </c>
      <c r="T57" s="25">
        <v>0</v>
      </c>
      <c r="U57" s="25">
        <v>0</v>
      </c>
      <c r="V57" s="25">
        <v>0</v>
      </c>
      <c r="W57" s="25">
        <v>0</v>
      </c>
      <c r="X57" s="25">
        <v>0</v>
      </c>
      <c r="Y57" s="25">
        <v>0</v>
      </c>
      <c r="Z57" s="25">
        <v>0</v>
      </c>
      <c r="AA57" s="25">
        <v>0</v>
      </c>
      <c r="AB57" s="25">
        <v>0</v>
      </c>
      <c r="AC57" s="25">
        <v>0</v>
      </c>
      <c r="AD57" s="25">
        <v>0</v>
      </c>
      <c r="AE57" s="25">
        <v>0</v>
      </c>
      <c r="AF57" s="25">
        <v>0</v>
      </c>
      <c r="AG57" s="25">
        <v>0</v>
      </c>
      <c r="AH57" s="25">
        <v>0</v>
      </c>
      <c r="AI57" s="25">
        <v>0</v>
      </c>
      <c r="AJ57" s="25">
        <v>0</v>
      </c>
      <c r="AK57" s="25">
        <v>0</v>
      </c>
      <c r="AL57" s="25">
        <v>0</v>
      </c>
      <c r="AM57" s="26">
        <v>0</v>
      </c>
      <c r="AN57" s="25">
        <v>0</v>
      </c>
      <c r="AO57" s="25">
        <v>0</v>
      </c>
      <c r="AP57" s="25">
        <v>0</v>
      </c>
      <c r="AQ57" s="25" t="e" cm="1">
        <f t="array" aca="1" ref="AQ57" ca="1">VBAProject.LinearInt.lin_int(CONVERT(60,"F","C"),15,20,M57,N57)</f>
        <v>#NAME?</v>
      </c>
      <c r="AR57" s="25" t="e" cm="1">
        <f t="array" aca="1" ref="AR57" ca="1">VBAProject.LinearInt.lin_int(CONVERT(60,"F","C"),15,20,P57,Q57)</f>
        <v>#NAME?</v>
      </c>
    </row>
    <row r="58" spans="1:44" x14ac:dyDescent="0.25">
      <c r="A58" s="25">
        <f t="shared" si="1"/>
        <v>57</v>
      </c>
      <c r="B58" s="25" t="s">
        <v>303</v>
      </c>
      <c r="C58" s="75" t="s">
        <v>304</v>
      </c>
      <c r="D58" s="75" t="s">
        <v>304</v>
      </c>
      <c r="E58" s="75" t="s">
        <v>16</v>
      </c>
      <c r="F58" s="75" t="s">
        <v>16</v>
      </c>
      <c r="G58" s="75" t="s">
        <v>16</v>
      </c>
      <c r="H58" s="75" t="s">
        <v>16</v>
      </c>
      <c r="I58" s="75" t="s">
        <v>16</v>
      </c>
      <c r="J58" s="75" t="s">
        <v>16</v>
      </c>
      <c r="K58" s="25">
        <v>83.8</v>
      </c>
      <c r="L58" s="25">
        <v>0</v>
      </c>
      <c r="M58" s="25">
        <v>0</v>
      </c>
      <c r="N58" s="25">
        <v>0</v>
      </c>
      <c r="O58" s="25">
        <v>0</v>
      </c>
      <c r="P58" s="25">
        <v>0</v>
      </c>
      <c r="Q58" s="25">
        <v>0</v>
      </c>
      <c r="R58" s="25">
        <v>0</v>
      </c>
      <c r="S58" s="25">
        <v>0</v>
      </c>
      <c r="T58" s="25">
        <v>0</v>
      </c>
      <c r="U58" s="25">
        <v>0</v>
      </c>
      <c r="V58" s="25">
        <v>0</v>
      </c>
      <c r="W58" s="25">
        <v>0</v>
      </c>
      <c r="X58" s="25">
        <v>0</v>
      </c>
      <c r="Y58" s="25">
        <v>0</v>
      </c>
      <c r="Z58" s="25">
        <v>0</v>
      </c>
      <c r="AA58" s="25">
        <v>0</v>
      </c>
      <c r="AB58" s="25">
        <v>0</v>
      </c>
      <c r="AC58" s="25">
        <v>0</v>
      </c>
      <c r="AD58" s="25">
        <v>0</v>
      </c>
      <c r="AE58" s="25">
        <v>0</v>
      </c>
      <c r="AF58" s="25">
        <v>0</v>
      </c>
      <c r="AG58" s="25">
        <v>0</v>
      </c>
      <c r="AH58" s="25">
        <v>0</v>
      </c>
      <c r="AI58" s="25">
        <v>0</v>
      </c>
      <c r="AJ58" s="25">
        <v>0</v>
      </c>
      <c r="AK58" s="25">
        <v>0</v>
      </c>
      <c r="AL58" s="25">
        <v>0</v>
      </c>
      <c r="AM58" s="26">
        <v>0</v>
      </c>
      <c r="AN58" s="25">
        <v>0</v>
      </c>
      <c r="AO58" s="25">
        <v>0</v>
      </c>
      <c r="AP58" s="25">
        <v>0</v>
      </c>
      <c r="AQ58" s="25" t="e" cm="1">
        <f t="array" aca="1" ref="AQ58" ca="1">VBAProject.LinearInt.lin_int(CONVERT(60,"F","C"),15,20,M58,N58)</f>
        <v>#NAME?</v>
      </c>
      <c r="AR58" s="25" t="e" cm="1">
        <f t="array" aca="1" ref="AR58" ca="1">VBAProject.LinearInt.lin_int(CONVERT(60,"F","C"),15,20,P58,Q58)</f>
        <v>#NAME?</v>
      </c>
    </row>
    <row r="59" spans="1:44" x14ac:dyDescent="0.25">
      <c r="A59" s="25">
        <f t="shared" si="1"/>
        <v>58</v>
      </c>
      <c r="B59" s="25" t="s">
        <v>305</v>
      </c>
      <c r="C59" s="75" t="s">
        <v>16</v>
      </c>
      <c r="D59" s="75" t="s">
        <v>306</v>
      </c>
      <c r="E59" s="75" t="s">
        <v>16</v>
      </c>
      <c r="F59" s="75" t="s">
        <v>16</v>
      </c>
      <c r="G59" s="75" t="s">
        <v>16</v>
      </c>
      <c r="H59" s="75" t="s">
        <v>16</v>
      </c>
      <c r="I59" s="75" t="s">
        <v>16</v>
      </c>
      <c r="J59" s="75" t="s">
        <v>16</v>
      </c>
      <c r="K59" s="25">
        <v>131.29</v>
      </c>
      <c r="L59" s="25">
        <v>0</v>
      </c>
      <c r="M59" s="25">
        <v>0</v>
      </c>
      <c r="N59" s="25">
        <v>0</v>
      </c>
      <c r="O59" s="25">
        <v>0</v>
      </c>
      <c r="P59" s="25">
        <v>0</v>
      </c>
      <c r="Q59" s="25">
        <v>0</v>
      </c>
      <c r="R59" s="25">
        <v>0</v>
      </c>
      <c r="S59" s="25">
        <v>0</v>
      </c>
      <c r="T59" s="25">
        <v>0</v>
      </c>
      <c r="U59" s="25">
        <v>0</v>
      </c>
      <c r="V59" s="25">
        <v>0</v>
      </c>
      <c r="W59" s="25">
        <v>0</v>
      </c>
      <c r="X59" s="25">
        <v>0</v>
      </c>
      <c r="Y59" s="25">
        <v>0</v>
      </c>
      <c r="Z59" s="25">
        <v>0</v>
      </c>
      <c r="AA59" s="25">
        <v>0</v>
      </c>
      <c r="AB59" s="25">
        <v>0</v>
      </c>
      <c r="AC59" s="25">
        <v>0</v>
      </c>
      <c r="AD59" s="25">
        <v>0</v>
      </c>
      <c r="AE59" s="25">
        <v>0</v>
      </c>
      <c r="AF59" s="25">
        <v>0</v>
      </c>
      <c r="AG59" s="25">
        <v>0</v>
      </c>
      <c r="AH59" s="25">
        <v>0</v>
      </c>
      <c r="AI59" s="25">
        <v>0</v>
      </c>
      <c r="AJ59" s="25">
        <v>0</v>
      </c>
      <c r="AK59" s="25">
        <v>0</v>
      </c>
      <c r="AL59" s="25">
        <v>0</v>
      </c>
      <c r="AM59" s="26">
        <v>0</v>
      </c>
      <c r="AN59" s="25">
        <v>0</v>
      </c>
      <c r="AO59" s="25">
        <v>0</v>
      </c>
      <c r="AP59" s="25">
        <v>0</v>
      </c>
      <c r="AQ59" s="25" t="e" cm="1">
        <f t="array" aca="1" ref="AQ59" ca="1">VBAProject.LinearInt.lin_int(CONVERT(60,"F","C"),15,20,M59,N59)</f>
        <v>#NAME?</v>
      </c>
      <c r="AR59" s="25" t="e" cm="1">
        <f t="array" aca="1" ref="AR59" ca="1">VBAProject.LinearInt.lin_int(CONVERT(60,"F","C"),15,20,P59,Q59)</f>
        <v>#NAME?</v>
      </c>
    </row>
    <row r="60" spans="1:44" x14ac:dyDescent="0.25">
      <c r="A60" s="26">
        <f t="shared" si="1"/>
        <v>59</v>
      </c>
      <c r="B60" s="26" t="s">
        <v>307</v>
      </c>
      <c r="C60" s="77" t="s">
        <v>307</v>
      </c>
      <c r="D60" s="75" t="s">
        <v>307</v>
      </c>
      <c r="E60" s="75" t="s">
        <v>16</v>
      </c>
      <c r="F60" s="77" t="s">
        <v>16</v>
      </c>
      <c r="G60" s="77" t="s">
        <v>16</v>
      </c>
      <c r="H60" s="77" t="s">
        <v>16</v>
      </c>
      <c r="I60" s="77" t="s">
        <v>16</v>
      </c>
      <c r="J60" s="77" t="s">
        <v>16</v>
      </c>
      <c r="K60" s="26">
        <v>28.962599999999998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6">
        <v>0</v>
      </c>
      <c r="T60" s="26">
        <v>0</v>
      </c>
      <c r="U60" s="26">
        <v>0</v>
      </c>
      <c r="V60" s="26">
        <v>0</v>
      </c>
      <c r="W60" s="26">
        <v>0</v>
      </c>
      <c r="X60" s="26">
        <v>0</v>
      </c>
      <c r="Y60" s="26">
        <v>0</v>
      </c>
      <c r="Z60" s="26">
        <v>0</v>
      </c>
      <c r="AA60" s="26">
        <v>0</v>
      </c>
      <c r="AB60" s="26">
        <v>0</v>
      </c>
      <c r="AC60" s="26">
        <v>0</v>
      </c>
      <c r="AD60" s="26">
        <v>0</v>
      </c>
      <c r="AE60" s="26">
        <v>0</v>
      </c>
      <c r="AF60" s="26">
        <v>0</v>
      </c>
      <c r="AG60" s="26">
        <v>0</v>
      </c>
      <c r="AH60" s="26">
        <v>0</v>
      </c>
      <c r="AI60" s="26">
        <v>0</v>
      </c>
      <c r="AJ60" s="26">
        <v>0</v>
      </c>
      <c r="AK60" s="26">
        <v>0</v>
      </c>
      <c r="AL60" s="26">
        <v>0</v>
      </c>
      <c r="AM60" s="26">
        <v>0</v>
      </c>
      <c r="AN60" s="26">
        <v>5.3699999999999998E-3</v>
      </c>
      <c r="AO60" s="26">
        <v>0</v>
      </c>
      <c r="AP60" s="26">
        <v>2.0100000000000001E-3</v>
      </c>
      <c r="AQ60" s="26" t="e" cm="1">
        <f t="array" aca="1" ref="AQ60" ca="1">VBAProject.LinearInt.lin_int(CONVERT(60,"F","C"),15,20,M60,N60)</f>
        <v>#NAME?</v>
      </c>
      <c r="AR60" s="26" t="e" cm="1">
        <f t="array" aca="1" ref="AR60" ca="1">VBAProject.LinearInt.lin_int(CONVERT(60,"F","C"),15,20,P60,Q60)</f>
        <v>#NAME?</v>
      </c>
    </row>
    <row r="61" spans="1:44" x14ac:dyDescent="0.25">
      <c r="A61" s="26">
        <f t="shared" si="1"/>
        <v>60</v>
      </c>
      <c r="B61" s="26" t="s">
        <v>308</v>
      </c>
      <c r="C61" s="77" t="s">
        <v>309</v>
      </c>
      <c r="D61" s="77" t="s">
        <v>309</v>
      </c>
      <c r="E61" s="77" t="s">
        <v>16</v>
      </c>
      <c r="F61" s="77" t="s">
        <v>16</v>
      </c>
      <c r="G61" s="77" t="s">
        <v>16</v>
      </c>
      <c r="H61" s="77" t="s">
        <v>16</v>
      </c>
      <c r="I61" s="77" t="s">
        <v>16</v>
      </c>
      <c r="J61" s="77" t="s">
        <v>16</v>
      </c>
      <c r="K61" s="26">
        <v>0</v>
      </c>
      <c r="L61" s="26">
        <v>0</v>
      </c>
      <c r="M61" s="26">
        <v>0</v>
      </c>
      <c r="N61" s="26">
        <v>0</v>
      </c>
      <c r="O61" s="26">
        <v>0</v>
      </c>
      <c r="P61" s="26">
        <v>0</v>
      </c>
      <c r="Q61" s="26">
        <v>0</v>
      </c>
      <c r="R61" s="26">
        <v>0</v>
      </c>
      <c r="S61" s="26">
        <v>0</v>
      </c>
      <c r="T61" s="26">
        <v>0</v>
      </c>
      <c r="U61" s="26">
        <v>0</v>
      </c>
      <c r="V61" s="26">
        <v>0</v>
      </c>
      <c r="W61" s="26">
        <v>0</v>
      </c>
      <c r="X61" s="26">
        <v>0</v>
      </c>
      <c r="Y61" s="26">
        <v>0</v>
      </c>
      <c r="Z61" s="26">
        <v>0</v>
      </c>
      <c r="AA61" s="26">
        <v>0</v>
      </c>
      <c r="AB61" s="26">
        <v>0</v>
      </c>
      <c r="AC61" s="26">
        <v>0</v>
      </c>
      <c r="AD61" s="26">
        <v>0</v>
      </c>
      <c r="AE61" s="26">
        <v>0</v>
      </c>
      <c r="AF61" s="26">
        <v>0</v>
      </c>
      <c r="AG61" s="26">
        <v>0</v>
      </c>
      <c r="AH61" s="26">
        <v>0</v>
      </c>
      <c r="AI61" s="26">
        <v>0</v>
      </c>
      <c r="AJ61" s="26">
        <v>0</v>
      </c>
      <c r="AK61" s="26">
        <v>0</v>
      </c>
      <c r="AL61" s="26">
        <v>0</v>
      </c>
      <c r="AM61" s="26">
        <v>0</v>
      </c>
      <c r="AN61" s="26">
        <v>0</v>
      </c>
      <c r="AO61" s="26">
        <v>0</v>
      </c>
      <c r="AP61" s="26">
        <v>0</v>
      </c>
      <c r="AQ61" s="26" t="e" cm="1">
        <f t="array" aca="1" ref="AQ61" ca="1">VBAProject.LinearInt.lin_int(CONVERT(60,"F","C"),15,20,M61,N61)</f>
        <v>#NAME?</v>
      </c>
      <c r="AR61" s="26" t="e" cm="1">
        <f t="array" aca="1" ref="AR61" ca="1">VBAProject.LinearInt.lin_int(CONVERT(60,"F","C"),15,20,P61,Q61)</f>
        <v>#NAME?</v>
      </c>
    </row>
    <row r="62" spans="1:44" x14ac:dyDescent="0.25">
      <c r="A62" s="26">
        <f t="shared" si="1"/>
        <v>61</v>
      </c>
      <c r="B62" s="26" t="s">
        <v>310</v>
      </c>
      <c r="C62" s="77" t="s">
        <v>311</v>
      </c>
      <c r="D62" s="77" t="s">
        <v>311</v>
      </c>
      <c r="E62" s="77" t="s">
        <v>16</v>
      </c>
      <c r="F62" s="77" t="s">
        <v>16</v>
      </c>
      <c r="G62" s="77" t="s">
        <v>16</v>
      </c>
      <c r="H62" s="77" t="s">
        <v>16</v>
      </c>
      <c r="I62" s="77" t="s">
        <v>16</v>
      </c>
      <c r="J62" s="77" t="s">
        <v>16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6">
        <v>0</v>
      </c>
      <c r="T62" s="26">
        <v>0</v>
      </c>
      <c r="U62" s="26">
        <v>0</v>
      </c>
      <c r="V62" s="26">
        <v>0</v>
      </c>
      <c r="W62" s="26">
        <v>0</v>
      </c>
      <c r="X62" s="26">
        <v>0</v>
      </c>
      <c r="Y62" s="26">
        <v>0</v>
      </c>
      <c r="Z62" s="26">
        <v>0</v>
      </c>
      <c r="AA62" s="26">
        <v>0</v>
      </c>
      <c r="AB62" s="26">
        <v>0</v>
      </c>
      <c r="AC62" s="26">
        <v>0</v>
      </c>
      <c r="AD62" s="26">
        <v>0</v>
      </c>
      <c r="AE62" s="26">
        <v>0</v>
      </c>
      <c r="AF62" s="26">
        <v>0</v>
      </c>
      <c r="AG62" s="26">
        <v>0</v>
      </c>
      <c r="AH62" s="26">
        <v>0</v>
      </c>
      <c r="AI62" s="26">
        <v>0</v>
      </c>
      <c r="AJ62" s="26">
        <v>0</v>
      </c>
      <c r="AK62" s="26">
        <v>0</v>
      </c>
      <c r="AL62" s="26">
        <v>0</v>
      </c>
      <c r="AM62" s="26">
        <v>0</v>
      </c>
      <c r="AN62" s="26">
        <v>0</v>
      </c>
      <c r="AO62" s="26">
        <v>0</v>
      </c>
      <c r="AP62" s="26">
        <v>0</v>
      </c>
      <c r="AQ62" s="26" t="e" cm="1">
        <f t="array" aca="1" ref="AQ62" ca="1">VBAProject.LinearInt.lin_int(CONVERT(60,"F","C"),15,20,M62,N62)</f>
        <v>#NAME?</v>
      </c>
      <c r="AR62" s="26" t="e" cm="1">
        <f t="array" aca="1" ref="AR62" ca="1">VBAProject.LinearInt.lin_int(CONVERT(60,"F","C"),15,20,P62,Q62)</f>
        <v>#NAME?</v>
      </c>
    </row>
    <row r="63" spans="1:44" x14ac:dyDescent="0.25">
      <c r="A63" s="26">
        <f t="shared" si="1"/>
        <v>62</v>
      </c>
      <c r="B63" s="26" t="s">
        <v>312</v>
      </c>
      <c r="C63" s="77" t="s">
        <v>311</v>
      </c>
      <c r="D63" s="77" t="s">
        <v>313</v>
      </c>
      <c r="E63" s="77" t="s">
        <v>16</v>
      </c>
      <c r="F63" s="77" t="s">
        <v>16</v>
      </c>
      <c r="G63" s="77" t="s">
        <v>16</v>
      </c>
      <c r="H63" s="77" t="s">
        <v>16</v>
      </c>
      <c r="I63" s="77" t="s">
        <v>16</v>
      </c>
      <c r="J63" s="77" t="s">
        <v>16</v>
      </c>
      <c r="K63" s="26">
        <v>0</v>
      </c>
      <c r="L63" s="26">
        <v>0</v>
      </c>
      <c r="M63" s="26">
        <v>0</v>
      </c>
      <c r="N63" s="26">
        <v>0</v>
      </c>
      <c r="O63" s="26">
        <v>0</v>
      </c>
      <c r="P63" s="26">
        <v>0</v>
      </c>
      <c r="Q63" s="26">
        <v>0</v>
      </c>
      <c r="R63" s="26">
        <v>0</v>
      </c>
      <c r="S63" s="26">
        <v>0</v>
      </c>
      <c r="T63" s="26">
        <v>0</v>
      </c>
      <c r="U63" s="26">
        <v>0</v>
      </c>
      <c r="V63" s="26">
        <v>0</v>
      </c>
      <c r="W63" s="26">
        <v>0</v>
      </c>
      <c r="X63" s="26">
        <v>0</v>
      </c>
      <c r="Y63" s="26">
        <v>0</v>
      </c>
      <c r="Z63" s="26">
        <v>0</v>
      </c>
      <c r="AA63" s="26">
        <v>0</v>
      </c>
      <c r="AB63" s="26">
        <v>0</v>
      </c>
      <c r="AC63" s="26">
        <v>0</v>
      </c>
      <c r="AD63" s="26">
        <v>0</v>
      </c>
      <c r="AE63" s="26">
        <v>0</v>
      </c>
      <c r="AF63" s="26">
        <v>0</v>
      </c>
      <c r="AG63" s="26">
        <v>0</v>
      </c>
      <c r="AH63" s="26">
        <v>0</v>
      </c>
      <c r="AI63" s="26">
        <v>0</v>
      </c>
      <c r="AJ63" s="26">
        <v>0</v>
      </c>
      <c r="AK63" s="26">
        <v>0</v>
      </c>
      <c r="AL63" s="26">
        <v>0</v>
      </c>
      <c r="AM63" s="26">
        <v>0</v>
      </c>
      <c r="AN63" s="26">
        <v>0</v>
      </c>
      <c r="AO63" s="26">
        <v>0</v>
      </c>
      <c r="AP63" s="26">
        <v>0</v>
      </c>
      <c r="AQ63" s="26" t="e" cm="1">
        <f t="array" aca="1" ref="AQ63" ca="1">VBAProject.LinearInt.lin_int(CONVERT(60,"F","C"),15,20,M63,N63)</f>
        <v>#NAME?</v>
      </c>
      <c r="AR63" s="26" t="e" cm="1">
        <f t="array" aca="1" ref="AR63" ca="1">VBAProject.LinearInt.lin_int(CONVERT(60,"F","C"),15,20,P63,Q63)</f>
        <v>#NAME?</v>
      </c>
    </row>
    <row r="64" spans="1:44" x14ac:dyDescent="0.25">
      <c r="A64" s="26">
        <f t="shared" si="1"/>
        <v>63</v>
      </c>
      <c r="B64" s="26" t="s">
        <v>314</v>
      </c>
      <c r="C64" s="77" t="s">
        <v>313</v>
      </c>
      <c r="D64" s="77" t="s">
        <v>315</v>
      </c>
      <c r="E64" s="77" t="s">
        <v>16</v>
      </c>
      <c r="F64" s="77" t="s">
        <v>16</v>
      </c>
      <c r="G64" s="77" t="s">
        <v>16</v>
      </c>
      <c r="H64" s="77" t="s">
        <v>16</v>
      </c>
      <c r="I64" s="77" t="s">
        <v>16</v>
      </c>
      <c r="J64" s="77" t="s">
        <v>16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6">
        <v>0</v>
      </c>
      <c r="T64" s="26">
        <v>0</v>
      </c>
      <c r="U64" s="26">
        <v>0</v>
      </c>
      <c r="V64" s="26">
        <v>0</v>
      </c>
      <c r="W64" s="26">
        <v>0</v>
      </c>
      <c r="X64" s="26">
        <v>0</v>
      </c>
      <c r="Y64" s="26">
        <v>0</v>
      </c>
      <c r="Z64" s="26">
        <v>0</v>
      </c>
      <c r="AA64" s="26">
        <v>0</v>
      </c>
      <c r="AB64" s="26">
        <v>0</v>
      </c>
      <c r="AC64" s="26">
        <v>0</v>
      </c>
      <c r="AD64" s="26">
        <v>0</v>
      </c>
      <c r="AE64" s="26">
        <v>0</v>
      </c>
      <c r="AF64" s="26">
        <v>0</v>
      </c>
      <c r="AG64" s="26">
        <v>0</v>
      </c>
      <c r="AH64" s="26">
        <v>0</v>
      </c>
      <c r="AI64" s="26">
        <v>0</v>
      </c>
      <c r="AJ64" s="26">
        <v>0</v>
      </c>
      <c r="AK64" s="26">
        <v>0</v>
      </c>
      <c r="AL64" s="26">
        <v>0</v>
      </c>
      <c r="AM64" s="26">
        <v>0</v>
      </c>
      <c r="AN64" s="26">
        <v>0</v>
      </c>
      <c r="AO64" s="26">
        <v>0</v>
      </c>
      <c r="AP64" s="26">
        <v>0</v>
      </c>
      <c r="AQ64" s="26" t="e" cm="1">
        <f t="array" aca="1" ref="AQ64" ca="1">VBAProject.LinearInt.lin_int(CONVERT(60,"F","C"),15,20,M64,N64)</f>
        <v>#NAME?</v>
      </c>
      <c r="AR64" s="26" t="e" cm="1">
        <f t="array" aca="1" ref="AR64" ca="1">VBAProject.LinearInt.lin_int(CONVERT(60,"F","C"),15,20,P64,Q64)</f>
        <v>#NAME?</v>
      </c>
    </row>
  </sheetData>
  <sheetProtection algorithmName="SHA-512" hashValue="mv54WcA53iJzruLjbVx5Pvt6B8MZX/OXrU92Ad9fbKBllTR/mk4ZxMv2ql7uv/Ig7x53hW+SY1wYqqPl3cqLbg==" saltValue="YFGEZk6bt1eV7ohhtsb9ig==" spinCount="100000"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Gas Properties</vt:lpstr>
      <vt:lpstr>Compounds</vt:lpstr>
      <vt:lpstr>Composition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Milenko_Manojlovic</dc:creator>
  <cp:keywords/>
  <dc:description/>
  <cp:lastModifiedBy>Milenko Manojlovic</cp:lastModifiedBy>
  <cp:revision/>
  <cp:lastPrinted>2024-07-29T16:07:11Z</cp:lastPrinted>
  <dcterms:created xsi:type="dcterms:W3CDTF">2016-03-29T07:32:46Z</dcterms:created>
  <dcterms:modified xsi:type="dcterms:W3CDTF">2024-08-06T00:20:35Z</dcterms:modified>
  <cp:category/>
  <cp:contentStatus/>
</cp:coreProperties>
</file>