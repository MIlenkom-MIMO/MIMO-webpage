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imometeringservices-my.sharepoint.com/personal/milenko_mimometeringservices_onmicrosoft_com/Documents/MIMO/MIMO Calculations Pack/"/>
    </mc:Choice>
  </mc:AlternateContent>
  <xr:revisionPtr revIDLastSave="14017" documentId="8_{9EB44A72-BE10-4809-BFBC-82F17EB1F7B3}" xr6:coauthVersionLast="45" xr6:coauthVersionMax="45" xr10:uidLastSave="{A09671B5-F8C9-4940-9420-E710735537C8}"/>
  <bookViews>
    <workbookView xWindow="-120" yWindow="-120" windowWidth="29040" windowHeight="15840" xr2:uid="{00000000-000D-0000-FFFF-FFFF00000000}"/>
  </bookViews>
  <sheets>
    <sheet name="Entry" sheetId="1" r:id="rId1"/>
    <sheet name="Input" sheetId="2" r:id="rId2"/>
    <sheet name="Export" sheetId="6" state="hidden" r:id="rId3"/>
  </sheets>
  <functionGroups builtInGroupCount="19"/>
  <definedNames>
    <definedName name="DestFolder">Entry!#REF!</definedName>
    <definedName name="DestYear">Entry!#REF!</definedName>
    <definedName name="log">Entry!#REF!</definedName>
    <definedName name="LOGS">Entry!#REF!</definedName>
    <definedName name="SGSFolder">Entry!#REF!</definedName>
    <definedName name="Sheets">Entry!#REF!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87" i="6" l="1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 l="1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3" i="6"/>
  <c r="B9" i="1" l="1"/>
  <c r="B10" i="1" s="1"/>
  <c r="B11" i="1" s="1"/>
  <c r="B12" i="1" s="1"/>
  <c r="B13" i="1" l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</calcChain>
</file>

<file path=xl/sharedStrings.xml><?xml version="1.0" encoding="utf-8"?>
<sst xmlns="http://schemas.openxmlformats.org/spreadsheetml/2006/main" count="44" uniqueCount="32">
  <si>
    <t>No</t>
  </si>
  <si>
    <t>Sheet</t>
  </si>
  <si>
    <t>Keyword</t>
  </si>
  <si>
    <t>Rows</t>
  </si>
  <si>
    <t>Columns</t>
  </si>
  <si>
    <t>Date</t>
  </si>
  <si>
    <t>Filename</t>
  </si>
  <si>
    <t>Total Gross Volume.</t>
  </si>
  <si>
    <t>Daily Gross Volume.</t>
  </si>
  <si>
    <t>Total Corrected Volume.</t>
  </si>
  <si>
    <t>Daily Corrected Volume.</t>
  </si>
  <si>
    <t>Total Mass (Tonnes).</t>
  </si>
  <si>
    <t>Daily Total Mass (Tonnes).</t>
  </si>
  <si>
    <t>EC HALE</t>
  </si>
  <si>
    <t>sm3</t>
  </si>
  <si>
    <t>PI Data</t>
  </si>
  <si>
    <t>Revision:</t>
  </si>
  <si>
    <t>Sheet1</t>
  </si>
  <si>
    <t>Instructions:</t>
  </si>
  <si>
    <t>1. Enter Spreadsheet Name</t>
  </si>
  <si>
    <t>2. Enter Keyword to search for on a spreadsheet</t>
  </si>
  <si>
    <t>5.Select files to extract data from (Supports SINGLE and MULTISELECT)</t>
  </si>
  <si>
    <t>He</t>
  </si>
  <si>
    <t>N2</t>
  </si>
  <si>
    <t>C1</t>
  </si>
  <si>
    <t>CO2</t>
  </si>
  <si>
    <t>DATE:</t>
  </si>
  <si>
    <t>Data Extractor - EXCEL WORKBOOKS</t>
  </si>
  <si>
    <t>Workbook 4:</t>
  </si>
  <si>
    <t>F0</t>
  </si>
  <si>
    <t>3. Enter value to extract and specify offset from found value (no of rows, no of columns)</t>
  </si>
  <si>
    <t>4. Press Extract Data where new windows will 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</si>
</sst>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u/>
      <sz val="8"/>
      <color theme="10"/>
      <name val="Calibri"/>
      <family val="2"/>
      <scheme val="minor"/>
    </font>
    <font>
      <b/>
      <sz val="8"/>
      <color theme="1"/>
      <name val="Calibri Light"/>
      <family val="2"/>
      <scheme val="major"/>
    </font>
    <font>
      <sz val="10"/>
      <color rgb="FF002060"/>
      <name val="Calibri"/>
      <family val="2"/>
      <scheme val="minor"/>
    </font>
    <font>
      <b/>
      <sz val="10"/>
      <color rgb="FF002060"/>
      <name val="Calibri"/>
      <family val="2"/>
      <charset val="238"/>
      <scheme val="minor"/>
    </font>
    <font>
      <sz val="10"/>
      <name val="Calibri"/>
      <family val="2"/>
      <scheme val="minor"/>
    </font>
    <font>
      <b/>
      <sz val="10"/>
      <color rgb="FF000000"/>
      <name val="Calibri Light"/>
      <family val="2"/>
      <charset val="238"/>
    </font>
    <font>
      <u/>
      <sz val="10"/>
      <color theme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78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thin">
        <color auto="1"/>
      </right>
      <top style="dashed">
        <color auto="1"/>
      </top>
      <bottom style="dashed">
        <color auto="1"/>
      </bottom>
      <diagonal/>
    </border>
    <border>
      <left/>
      <right/>
      <top style="medium">
        <color rgb="FF002060"/>
      </top>
      <bottom/>
      <diagonal/>
    </border>
    <border>
      <left/>
      <right/>
      <top/>
      <bottom style="medium">
        <color rgb="FF00206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2" borderId="7" xfId="0" applyFill="1" applyBorder="1"/>
    <xf numFmtId="0" fontId="0" fillId="2" borderId="8" xfId="0" applyFill="1" applyBorder="1"/>
    <xf numFmtId="14" fontId="8" fillId="0" borderId="0" xfId="0" applyNumberFormat="1" applyFont="1" applyFill="1" applyAlignment="1">
      <alignment horizontal="center"/>
    </xf>
    <xf numFmtId="0" fontId="9" fillId="0" borderId="0" xfId="1" applyFont="1" applyFill="1"/>
    <xf numFmtId="0" fontId="0" fillId="0" borderId="0" xfId="0" applyFill="1"/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2" fillId="0" borderId="0" xfId="0" applyFont="1" applyFill="1"/>
    <xf numFmtId="0" fontId="10" fillId="2" borderId="0" xfId="0" applyFont="1" applyFill="1" applyAlignment="1">
      <alignment horizontal="center"/>
    </xf>
    <xf numFmtId="164" fontId="8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4" fillId="0" borderId="1" xfId="0" applyFont="1" applyBorder="1"/>
    <xf numFmtId="0" fontId="4" fillId="0" borderId="3" xfId="0" applyFont="1" applyBorder="1"/>
    <xf numFmtId="14" fontId="0" fillId="0" borderId="0" xfId="0" applyNumberFormat="1" applyFill="1"/>
    <xf numFmtId="0" fontId="12" fillId="0" borderId="12" xfId="0" applyFont="1" applyBorder="1" applyAlignment="1">
      <alignment horizontal="left"/>
    </xf>
    <xf numFmtId="0" fontId="4" fillId="0" borderId="12" xfId="0" applyFont="1" applyBorder="1" applyAlignment="1">
      <alignment horizontal="left"/>
    </xf>
    <xf numFmtId="0" fontId="0" fillId="0" borderId="12" xfId="0" applyBorder="1"/>
    <xf numFmtId="0" fontId="11" fillId="0" borderId="12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0" fillId="0" borderId="13" xfId="0" applyBorder="1"/>
    <xf numFmtId="0" fontId="4" fillId="0" borderId="13" xfId="0" applyFont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0" fontId="5" fillId="2" borderId="7" xfId="0" applyFont="1" applyFill="1" applyBorder="1" applyAlignment="1">
      <alignment horizontal="left"/>
    </xf>
    <xf numFmtId="0" fontId="5" fillId="2" borderId="8" xfId="0" applyFont="1" applyFill="1" applyBorder="1" applyAlignment="1">
      <alignment horizontal="left"/>
    </xf>
    <xf numFmtId="0" fontId="1" fillId="2" borderId="6" xfId="0" applyFont="1" applyFill="1" applyBorder="1"/>
    <xf numFmtId="0" fontId="4" fillId="0" borderId="0" xfId="0" applyFont="1" applyFill="1" applyBorder="1"/>
    <xf numFmtId="0" fontId="3" fillId="0" borderId="9" xfId="0" applyFont="1" applyBorder="1" applyAlignment="1" applyProtection="1">
      <alignment horizontal="left"/>
      <protection locked="0"/>
    </xf>
    <xf numFmtId="0" fontId="3" fillId="0" borderId="10" xfId="0" applyFont="1" applyBorder="1" applyAlignment="1" applyProtection="1">
      <alignment horizontal="left"/>
      <protection locked="0"/>
    </xf>
    <xf numFmtId="0" fontId="3" fillId="0" borderId="11" xfId="0" applyFont="1" applyBorder="1" applyAlignment="1" applyProtection="1">
      <alignment horizontal="left"/>
      <protection locked="0"/>
    </xf>
    <xf numFmtId="0" fontId="4" fillId="3" borderId="0" xfId="0" applyFont="1" applyFill="1" applyAlignment="1">
      <alignment horizontal="left"/>
    </xf>
    <xf numFmtId="0" fontId="15" fillId="0" borderId="0" xfId="1" applyFont="1" applyAlignment="1">
      <alignment horizontal="left"/>
    </xf>
    <xf numFmtId="14" fontId="4" fillId="0" borderId="0" xfId="0" applyNumberFormat="1" applyFont="1" applyAlignment="1">
      <alignment horizontal="left"/>
    </xf>
    <xf numFmtId="0" fontId="4" fillId="0" borderId="0" xfId="0" applyFont="1" applyFill="1" applyAlignment="1">
      <alignment horizontal="left"/>
    </xf>
    <xf numFmtId="0" fontId="16" fillId="0" borderId="0" xfId="0" applyFont="1"/>
    <xf numFmtId="0" fontId="17" fillId="0" borderId="0" xfId="0" applyFont="1"/>
    <xf numFmtId="0" fontId="17" fillId="0" borderId="0" xfId="0" applyFont="1" applyAlignment="1">
      <alignment horizontal="left"/>
    </xf>
    <xf numFmtId="0" fontId="18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1552575</xdr:colOff>
      <xdr:row>1</xdr:row>
      <xdr:rowOff>104775</xdr:rowOff>
    </xdr:from>
    <xdr:to>
      <xdr:col>5</xdr:col>
      <xdr:colOff>695325</xdr:colOff>
      <xdr:row>4</xdr:row>
      <xdr:rowOff>99537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8125" y="304800"/>
          <a:ext cx="1562100" cy="5662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30</xdr:row>
          <xdr:rowOff>38100</xdr:rowOff>
        </xdr:from>
        <xdr:to>
          <xdr:col>5</xdr:col>
          <xdr:colOff>685800</xdr:colOff>
          <xdr:row>31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G52"/>
  <sheetViews>
    <sheetView showGridLines="0" tabSelected="1" zoomScaleNormal="100" workbookViewId="0">
      <selection activeCell="B35" sqref="B35"/>
    </sheetView>
  </sheetViews>
  <sheetFormatPr defaultRowHeight="15" x14ac:dyDescent="0.25"/>
  <cols>
    <col min="1" max="1" width="6" customWidth="1"/>
    <col min="2" max="2" width="16.7109375" customWidth="1"/>
    <col min="3" max="3" width="14.7109375" customWidth="1"/>
    <col min="4" max="4" width="25.140625" customWidth="1"/>
    <col min="5" max="5" width="11.140625" customWidth="1"/>
    <col min="6" max="6" width="10.85546875" customWidth="1"/>
  </cols>
  <sheetData>
    <row r="1" spans="1:6" ht="15.75" thickBot="1" x14ac:dyDescent="0.3"/>
    <row r="2" spans="1:6" x14ac:dyDescent="0.25">
      <c r="A2" s="1"/>
      <c r="B2" s="19" t="s">
        <v>28</v>
      </c>
      <c r="C2" s="20" t="s">
        <v>27</v>
      </c>
      <c r="D2" s="21"/>
      <c r="E2" s="21"/>
      <c r="F2" s="22"/>
    </row>
    <row r="3" spans="1:6" x14ac:dyDescent="0.25">
      <c r="A3" s="1"/>
      <c r="B3" s="23" t="s">
        <v>16</v>
      </c>
      <c r="C3" s="24" t="s">
        <v>29</v>
      </c>
      <c r="F3" s="25"/>
    </row>
    <row r="4" spans="1:6" x14ac:dyDescent="0.25">
      <c r="A4" s="1"/>
      <c r="F4" s="26"/>
    </row>
    <row r="5" spans="1:6" ht="15.75" thickBot="1" x14ac:dyDescent="0.3">
      <c r="A5" s="1"/>
      <c r="B5" s="27"/>
      <c r="C5" s="27"/>
      <c r="D5" s="27"/>
      <c r="E5" s="27"/>
      <c r="F5" s="28"/>
    </row>
    <row r="7" spans="1:6" x14ac:dyDescent="0.25">
      <c r="B7" s="29" t="s">
        <v>0</v>
      </c>
      <c r="C7" s="30" t="s">
        <v>1</v>
      </c>
      <c r="D7" s="30" t="s">
        <v>2</v>
      </c>
      <c r="E7" s="30" t="s">
        <v>3</v>
      </c>
      <c r="F7" s="31" t="s">
        <v>4</v>
      </c>
    </row>
    <row r="8" spans="1:6" x14ac:dyDescent="0.25">
      <c r="B8" s="34">
        <v>1</v>
      </c>
      <c r="C8" s="35" t="s">
        <v>17</v>
      </c>
      <c r="D8" s="35" t="s">
        <v>26</v>
      </c>
      <c r="E8" s="35">
        <v>0</v>
      </c>
      <c r="F8" s="36">
        <v>1</v>
      </c>
    </row>
    <row r="9" spans="1:6" x14ac:dyDescent="0.25">
      <c r="B9" s="34">
        <f>B8+1</f>
        <v>2</v>
      </c>
      <c r="C9" s="35" t="s">
        <v>17</v>
      </c>
      <c r="D9" s="35" t="s">
        <v>22</v>
      </c>
      <c r="E9" s="35">
        <v>0</v>
      </c>
      <c r="F9" s="36">
        <v>1</v>
      </c>
    </row>
    <row r="10" spans="1:6" x14ac:dyDescent="0.25">
      <c r="B10" s="34">
        <f t="shared" ref="B10:B28" si="0">B9+1</f>
        <v>3</v>
      </c>
      <c r="C10" s="35" t="s">
        <v>17</v>
      </c>
      <c r="D10" s="35" t="s">
        <v>23</v>
      </c>
      <c r="E10" s="35">
        <v>0</v>
      </c>
      <c r="F10" s="36">
        <v>1</v>
      </c>
    </row>
    <row r="11" spans="1:6" x14ac:dyDescent="0.25">
      <c r="B11" s="34">
        <f t="shared" si="0"/>
        <v>4</v>
      </c>
      <c r="C11" s="35" t="s">
        <v>17</v>
      </c>
      <c r="D11" s="35" t="s">
        <v>24</v>
      </c>
      <c r="E11" s="35">
        <v>0</v>
      </c>
      <c r="F11" s="36">
        <v>1</v>
      </c>
    </row>
    <row r="12" spans="1:6" x14ac:dyDescent="0.25">
      <c r="B12" s="34">
        <f t="shared" si="0"/>
        <v>5</v>
      </c>
      <c r="C12" s="35" t="s">
        <v>17</v>
      </c>
      <c r="D12" s="35" t="s">
        <v>25</v>
      </c>
      <c r="E12" s="35">
        <v>0</v>
      </c>
      <c r="F12" s="36">
        <v>1</v>
      </c>
    </row>
    <row r="13" spans="1:6" x14ac:dyDescent="0.25">
      <c r="B13" s="34">
        <f t="shared" si="0"/>
        <v>6</v>
      </c>
      <c r="C13" s="35"/>
      <c r="D13" s="35"/>
      <c r="E13" s="35"/>
      <c r="F13" s="36"/>
    </row>
    <row r="14" spans="1:6" x14ac:dyDescent="0.25">
      <c r="B14" s="34">
        <f t="shared" si="0"/>
        <v>7</v>
      </c>
      <c r="C14" s="35"/>
      <c r="D14" s="35"/>
      <c r="E14" s="35"/>
      <c r="F14" s="36"/>
    </row>
    <row r="15" spans="1:6" x14ac:dyDescent="0.25">
      <c r="B15" s="34">
        <f t="shared" si="0"/>
        <v>8</v>
      </c>
      <c r="C15" s="35"/>
      <c r="D15" s="35"/>
      <c r="E15" s="35"/>
      <c r="F15" s="36"/>
    </row>
    <row r="16" spans="1:6" x14ac:dyDescent="0.25">
      <c r="B16" s="34">
        <f t="shared" si="0"/>
        <v>9</v>
      </c>
      <c r="C16" s="35"/>
      <c r="D16" s="35"/>
      <c r="E16" s="35"/>
      <c r="F16" s="36"/>
    </row>
    <row r="17" spans="2:6" x14ac:dyDescent="0.25">
      <c r="B17" s="34">
        <f t="shared" si="0"/>
        <v>10</v>
      </c>
      <c r="C17" s="35"/>
      <c r="D17" s="35"/>
      <c r="E17" s="35"/>
      <c r="F17" s="36"/>
    </row>
    <row r="18" spans="2:6" x14ac:dyDescent="0.25">
      <c r="B18" s="34">
        <f t="shared" si="0"/>
        <v>11</v>
      </c>
      <c r="C18" s="35"/>
      <c r="D18" s="35"/>
      <c r="E18" s="35"/>
      <c r="F18" s="36"/>
    </row>
    <row r="19" spans="2:6" x14ac:dyDescent="0.25">
      <c r="B19" s="34">
        <f t="shared" si="0"/>
        <v>12</v>
      </c>
      <c r="C19" s="35"/>
      <c r="D19" s="35"/>
      <c r="E19" s="35"/>
      <c r="F19" s="36"/>
    </row>
    <row r="20" spans="2:6" x14ac:dyDescent="0.25">
      <c r="B20" s="34">
        <f t="shared" si="0"/>
        <v>13</v>
      </c>
      <c r="C20" s="35"/>
      <c r="D20" s="35"/>
      <c r="E20" s="35"/>
      <c r="F20" s="36"/>
    </row>
    <row r="21" spans="2:6" x14ac:dyDescent="0.25">
      <c r="B21" s="34">
        <f t="shared" si="0"/>
        <v>14</v>
      </c>
      <c r="C21" s="35"/>
      <c r="D21" s="35"/>
      <c r="E21" s="35"/>
      <c r="F21" s="36"/>
    </row>
    <row r="22" spans="2:6" x14ac:dyDescent="0.25">
      <c r="B22" s="34">
        <f t="shared" si="0"/>
        <v>15</v>
      </c>
      <c r="C22" s="35"/>
      <c r="D22" s="35"/>
      <c r="E22" s="35"/>
      <c r="F22" s="36"/>
    </row>
    <row r="23" spans="2:6" x14ac:dyDescent="0.25">
      <c r="B23" s="34">
        <f t="shared" si="0"/>
        <v>16</v>
      </c>
      <c r="C23" s="35"/>
      <c r="D23" s="35"/>
      <c r="E23" s="35"/>
      <c r="F23" s="36"/>
    </row>
    <row r="24" spans="2:6" x14ac:dyDescent="0.25">
      <c r="B24" s="34">
        <f t="shared" si="0"/>
        <v>17</v>
      </c>
      <c r="C24" s="35"/>
      <c r="D24" s="35"/>
      <c r="E24" s="35"/>
      <c r="F24" s="36"/>
    </row>
    <row r="25" spans="2:6" x14ac:dyDescent="0.25">
      <c r="B25" s="34">
        <f t="shared" si="0"/>
        <v>18</v>
      </c>
      <c r="C25" s="35"/>
      <c r="D25" s="35"/>
      <c r="E25" s="35"/>
      <c r="F25" s="36"/>
    </row>
    <row r="26" spans="2:6" x14ac:dyDescent="0.25">
      <c r="B26" s="34">
        <f t="shared" si="0"/>
        <v>19</v>
      </c>
      <c r="C26" s="35"/>
      <c r="D26" s="35"/>
      <c r="E26" s="35"/>
      <c r="F26" s="36"/>
    </row>
    <row r="27" spans="2:6" x14ac:dyDescent="0.25">
      <c r="B27" s="34">
        <f t="shared" si="0"/>
        <v>20</v>
      </c>
      <c r="C27" s="35"/>
      <c r="D27" s="35"/>
      <c r="E27" s="35"/>
      <c r="F27" s="36"/>
    </row>
    <row r="28" spans="2:6" x14ac:dyDescent="0.25">
      <c r="B28" s="34">
        <f t="shared" si="0"/>
        <v>21</v>
      </c>
      <c r="C28" s="35"/>
      <c r="D28" s="35"/>
      <c r="E28" s="35"/>
      <c r="F28" s="36"/>
    </row>
    <row r="30" spans="2:6" x14ac:dyDescent="0.25">
      <c r="B30" s="32" t="s">
        <v>18</v>
      </c>
      <c r="C30" s="5"/>
      <c r="D30" s="5"/>
      <c r="E30" s="5"/>
      <c r="F30" s="6"/>
    </row>
    <row r="31" spans="2:6" x14ac:dyDescent="0.25">
      <c r="B31" s="16" t="s">
        <v>19</v>
      </c>
      <c r="C31" s="1"/>
      <c r="D31" s="1"/>
      <c r="E31" s="1"/>
      <c r="F31" s="2"/>
    </row>
    <row r="32" spans="2:6" x14ac:dyDescent="0.25">
      <c r="B32" s="16" t="s">
        <v>20</v>
      </c>
      <c r="C32" s="1"/>
      <c r="D32" s="1"/>
      <c r="E32" s="1"/>
      <c r="F32" s="2"/>
    </row>
    <row r="33" spans="2:7" x14ac:dyDescent="0.25">
      <c r="B33" s="16" t="s">
        <v>30</v>
      </c>
      <c r="C33" s="1"/>
      <c r="D33" s="1"/>
      <c r="E33" s="1"/>
      <c r="F33" s="2"/>
    </row>
    <row r="34" spans="2:7" x14ac:dyDescent="0.25">
      <c r="B34" s="16" t="s">
        <v>31</v>
      </c>
      <c r="C34" s="1"/>
      <c r="D34" s="1"/>
      <c r="E34" s="1"/>
      <c r="F34" s="2"/>
    </row>
    <row r="35" spans="2:7" x14ac:dyDescent="0.25">
      <c r="B35" s="16" t="s">
        <v>21</v>
      </c>
      <c r="C35" s="1"/>
      <c r="D35" s="1"/>
      <c r="E35" s="1"/>
      <c r="F35" s="2"/>
    </row>
    <row r="36" spans="2:7" x14ac:dyDescent="0.25">
      <c r="B36" s="17"/>
      <c r="C36" s="3"/>
      <c r="D36" s="3"/>
      <c r="E36" s="3"/>
      <c r="F36" s="4"/>
    </row>
    <row r="38" spans="2:7" x14ac:dyDescent="0.25">
      <c r="D38" s="43"/>
      <c r="E38" s="43"/>
      <c r="F38" s="43"/>
      <c r="G38" s="44"/>
    </row>
    <row r="39" spans="2:7" x14ac:dyDescent="0.25">
      <c r="B39" s="41"/>
      <c r="C39" s="41"/>
      <c r="D39" s="43"/>
      <c r="E39" s="43"/>
      <c r="F39" s="43"/>
      <c r="G39" s="44"/>
    </row>
    <row r="40" spans="2:7" x14ac:dyDescent="0.25">
      <c r="B40" s="41"/>
      <c r="C40" s="41"/>
      <c r="D40" s="42"/>
      <c r="E40" s="42"/>
      <c r="F40" s="42"/>
      <c r="G40" s="44"/>
    </row>
    <row r="41" spans="2:7" x14ac:dyDescent="0.25">
      <c r="B41" s="41"/>
      <c r="C41" s="41"/>
      <c r="D41" s="41"/>
      <c r="E41" s="41"/>
      <c r="F41" s="41"/>
    </row>
    <row r="42" spans="2:7" x14ac:dyDescent="0.25">
      <c r="B42" s="41"/>
      <c r="C42" s="41"/>
      <c r="D42" s="41"/>
      <c r="E42" s="41"/>
      <c r="F42" s="41"/>
    </row>
    <row r="43" spans="2:7" x14ac:dyDescent="0.25">
      <c r="B43" s="41"/>
      <c r="C43" s="41"/>
    </row>
    <row r="44" spans="2:7" x14ac:dyDescent="0.25">
      <c r="B44" s="41"/>
      <c r="C44" s="41"/>
    </row>
    <row r="45" spans="2:7" x14ac:dyDescent="0.25">
      <c r="B45" s="41"/>
      <c r="C45" s="41"/>
    </row>
    <row r="46" spans="2:7" x14ac:dyDescent="0.25">
      <c r="B46" s="41"/>
      <c r="C46" s="41"/>
    </row>
    <row r="47" spans="2:7" x14ac:dyDescent="0.25">
      <c r="B47" s="41"/>
      <c r="C47" s="41"/>
    </row>
    <row r="48" spans="2:7" x14ac:dyDescent="0.25">
      <c r="B48" s="41"/>
      <c r="C48" s="41"/>
    </row>
    <row r="49" spans="2:3" x14ac:dyDescent="0.25">
      <c r="B49" s="41"/>
      <c r="C49" s="41"/>
    </row>
    <row r="50" spans="2:3" x14ac:dyDescent="0.25">
      <c r="B50" s="41"/>
      <c r="C50" s="41"/>
    </row>
    <row r="51" spans="2:3" x14ac:dyDescent="0.25">
      <c r="B51" s="41"/>
      <c r="C51" s="41"/>
    </row>
    <row r="52" spans="2:3" x14ac:dyDescent="0.25">
      <c r="B52" s="41"/>
      <c r="C52" s="41"/>
    </row>
  </sheetData>
  <sheetProtection algorithmName="SHA-512" hashValue="WU0qt44okC79GF/RDPFJ/n45XYrY51pOGIs1UnfqppLLntGIu2DvXxQzb8ITc/zHyRYJblVNmvbxWk/KpiZcpg==" saltValue="bjd4nTeITspggr+jVf1nhQ==" spinCount="100000" sheet="1" objects="1" scenarios="1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ImportData">
                <anchor moveWithCells="1" sizeWithCells="1">
                  <from>
                    <xdr:col>4</xdr:col>
                    <xdr:colOff>76200</xdr:colOff>
                    <xdr:row>30</xdr:row>
                    <xdr:rowOff>38100</xdr:rowOff>
                  </from>
                  <to>
                    <xdr:col>5</xdr:col>
                    <xdr:colOff>685800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927"/>
  <sheetViews>
    <sheetView showGridLines="0" workbookViewId="0">
      <selection activeCell="C14" sqref="C14"/>
    </sheetView>
  </sheetViews>
  <sheetFormatPr defaultRowHeight="15" x14ac:dyDescent="0.25"/>
  <cols>
    <col min="1" max="1" width="19.5703125" style="9" customWidth="1"/>
    <col min="2" max="2" width="12" style="12" customWidth="1"/>
    <col min="3" max="17" width="9.42578125" style="9" customWidth="1"/>
    <col min="18" max="16384" width="9.140625" style="9"/>
  </cols>
  <sheetData>
    <row r="1" spans="1:18" s="33" customFormat="1" ht="12.75" x14ac:dyDescent="0.2">
      <c r="A1" s="37" t="s">
        <v>6</v>
      </c>
      <c r="B1" s="37" t="s">
        <v>26</v>
      </c>
      <c r="C1" s="37" t="s">
        <v>22</v>
      </c>
      <c r="D1" s="37" t="s">
        <v>23</v>
      </c>
      <c r="E1" s="37" t="s">
        <v>24</v>
      </c>
      <c r="F1" s="37" t="s">
        <v>25</v>
      </c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</row>
    <row r="2" spans="1:18" s="33" customFormat="1" ht="12.75" x14ac:dyDescent="0.2">
      <c r="A2" s="38"/>
      <c r="B2" s="39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</row>
    <row r="3" spans="1:18" x14ac:dyDescent="0.25">
      <c r="A3" s="38"/>
      <c r="B3" s="39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</row>
    <row r="4" spans="1:18" x14ac:dyDescent="0.25">
      <c r="A4" s="38"/>
      <c r="B4" s="39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</row>
    <row r="5" spans="1:18" x14ac:dyDescent="0.25">
      <c r="A5" s="38"/>
      <c r="B5" s="39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</row>
    <row r="6" spans="1:18" x14ac:dyDescent="0.25">
      <c r="A6" s="38"/>
      <c r="B6" s="39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</row>
    <row r="7" spans="1:18" x14ac:dyDescent="0.25">
      <c r="A7" s="38"/>
      <c r="B7" s="39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</row>
    <row r="8" spans="1:18" x14ac:dyDescent="0.25">
      <c r="A8" s="38"/>
      <c r="B8" s="39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</row>
    <row r="9" spans="1:18" x14ac:dyDescent="0.25">
      <c r="A9"/>
      <c r="B9"/>
      <c r="C9"/>
      <c r="D9"/>
      <c r="E9"/>
      <c r="F9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</row>
    <row r="10" spans="1:18" x14ac:dyDescent="0.25">
      <c r="A10"/>
      <c r="B10"/>
      <c r="C10"/>
      <c r="D10"/>
      <c r="E10"/>
      <c r="F10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</row>
    <row r="11" spans="1:18" x14ac:dyDescent="0.25">
      <c r="A11"/>
      <c r="B11"/>
      <c r="C11"/>
      <c r="D11"/>
      <c r="E11"/>
      <c r="F11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</row>
    <row r="12" spans="1:18" x14ac:dyDescent="0.25">
      <c r="A12"/>
      <c r="B12"/>
      <c r="C12"/>
      <c r="D12"/>
      <c r="E12"/>
      <c r="F12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</row>
    <row r="13" spans="1:18" x14ac:dyDescent="0.25">
      <c r="A13"/>
      <c r="B13"/>
      <c r="C13"/>
      <c r="D13"/>
      <c r="E13"/>
      <c r="F13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</row>
    <row r="14" spans="1:18" x14ac:dyDescent="0.25">
      <c r="A14"/>
      <c r="B14"/>
      <c r="C14"/>
      <c r="D14"/>
      <c r="E14"/>
      <c r="F14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</row>
    <row r="15" spans="1:18" x14ac:dyDescent="0.25">
      <c r="A15"/>
      <c r="B15"/>
      <c r="C15"/>
      <c r="D15"/>
      <c r="E15"/>
      <c r="F15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</row>
    <row r="16" spans="1:18" x14ac:dyDescent="0.25">
      <c r="A16"/>
      <c r="B16"/>
      <c r="C16"/>
      <c r="D16"/>
      <c r="E16"/>
      <c r="F1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</row>
    <row r="17" spans="1:18" x14ac:dyDescent="0.25">
      <c r="A17"/>
      <c r="B17"/>
      <c r="C17"/>
      <c r="D17"/>
      <c r="E17"/>
      <c r="F17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</row>
    <row r="18" spans="1:18" x14ac:dyDescent="0.25">
      <c r="A18"/>
      <c r="B18"/>
      <c r="C18"/>
      <c r="D18"/>
      <c r="E18"/>
      <c r="F18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</row>
    <row r="19" spans="1:18" x14ac:dyDescent="0.25">
      <c r="A19"/>
      <c r="B19"/>
      <c r="C19"/>
      <c r="D19"/>
      <c r="E19"/>
      <c r="F19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</row>
    <row r="20" spans="1:18" x14ac:dyDescent="0.25">
      <c r="A20"/>
      <c r="B20"/>
      <c r="C20"/>
      <c r="D20"/>
      <c r="E20"/>
      <c r="F20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</row>
    <row r="21" spans="1:18" x14ac:dyDescent="0.25">
      <c r="A21"/>
      <c r="B21"/>
      <c r="C21"/>
      <c r="D21"/>
      <c r="E21"/>
      <c r="F21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</row>
    <row r="22" spans="1:18" x14ac:dyDescent="0.25">
      <c r="A22"/>
      <c r="B22"/>
      <c r="C22"/>
      <c r="D22"/>
      <c r="E22"/>
      <c r="F22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</row>
    <row r="23" spans="1:18" x14ac:dyDescent="0.25">
      <c r="A23"/>
      <c r="B23"/>
      <c r="C23"/>
      <c r="D23"/>
      <c r="E23"/>
      <c r="F23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</row>
    <row r="24" spans="1:18" x14ac:dyDescent="0.25">
      <c r="A24"/>
      <c r="B24"/>
      <c r="C24"/>
      <c r="D24"/>
      <c r="E24"/>
      <c r="F24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</row>
    <row r="25" spans="1:18" x14ac:dyDescent="0.25">
      <c r="A25"/>
      <c r="B25"/>
      <c r="C25"/>
      <c r="D25"/>
      <c r="E25"/>
      <c r="F25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</row>
    <row r="26" spans="1:18" x14ac:dyDescent="0.25">
      <c r="A26"/>
      <c r="B26"/>
      <c r="C26"/>
      <c r="D26"/>
      <c r="E26"/>
      <c r="F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</row>
    <row r="27" spans="1:18" x14ac:dyDescent="0.25">
      <c r="A27"/>
      <c r="B27"/>
      <c r="C27"/>
      <c r="D27"/>
      <c r="E27"/>
      <c r="F27"/>
      <c r="G27" s="26"/>
      <c r="H27" s="26"/>
      <c r="I27" s="26"/>
      <c r="J27" s="40"/>
      <c r="K27" s="40"/>
      <c r="L27" s="40"/>
      <c r="M27" s="40"/>
      <c r="N27" s="40"/>
      <c r="O27" s="40"/>
      <c r="P27" s="40"/>
      <c r="Q27" s="40"/>
      <c r="R27" s="40"/>
    </row>
    <row r="28" spans="1:18" x14ac:dyDescent="0.25">
      <c r="A28"/>
      <c r="B28"/>
      <c r="C28"/>
      <c r="D28"/>
      <c r="E28"/>
      <c r="F28"/>
      <c r="G28" s="26"/>
      <c r="H28" s="26"/>
      <c r="I28" s="26"/>
      <c r="J28" s="40"/>
      <c r="K28" s="40"/>
      <c r="L28" s="40"/>
      <c r="M28" s="40"/>
      <c r="N28" s="40"/>
      <c r="O28" s="40"/>
      <c r="P28" s="40"/>
      <c r="Q28" s="40"/>
      <c r="R28" s="40"/>
    </row>
    <row r="29" spans="1:18" x14ac:dyDescent="0.25">
      <c r="A29"/>
      <c r="B29"/>
      <c r="C29"/>
      <c r="D29"/>
      <c r="E29"/>
      <c r="F29"/>
      <c r="G29" s="26"/>
      <c r="H29" s="26"/>
      <c r="I29" s="26"/>
      <c r="J29" s="40"/>
      <c r="K29" s="40"/>
      <c r="L29" s="40"/>
      <c r="M29" s="40"/>
      <c r="N29" s="40"/>
      <c r="O29" s="40"/>
      <c r="P29" s="40"/>
      <c r="Q29" s="40"/>
      <c r="R29" s="40"/>
    </row>
    <row r="30" spans="1:18" x14ac:dyDescent="0.25">
      <c r="A30"/>
      <c r="B30"/>
      <c r="C30"/>
      <c r="D30"/>
      <c r="E30"/>
      <c r="F30"/>
      <c r="G30" s="26"/>
      <c r="H30" s="26"/>
      <c r="I30" s="26"/>
      <c r="J30" s="40"/>
      <c r="K30" s="40"/>
      <c r="L30" s="40"/>
      <c r="M30" s="40"/>
      <c r="N30" s="40"/>
      <c r="O30" s="40"/>
      <c r="P30" s="40"/>
      <c r="Q30" s="40"/>
      <c r="R30" s="40"/>
    </row>
    <row r="31" spans="1:18" x14ac:dyDescent="0.25">
      <c r="A31"/>
      <c r="B31"/>
      <c r="C31"/>
      <c r="D31"/>
      <c r="E31"/>
      <c r="F31"/>
      <c r="G31" s="26"/>
      <c r="H31" s="26"/>
      <c r="I31" s="26"/>
      <c r="J31" s="40"/>
      <c r="K31" s="40"/>
      <c r="L31" s="40"/>
      <c r="M31" s="40"/>
      <c r="N31" s="40"/>
      <c r="O31" s="40"/>
      <c r="P31" s="40"/>
      <c r="Q31" s="40"/>
      <c r="R31" s="40"/>
    </row>
    <row r="32" spans="1:18" x14ac:dyDescent="0.25">
      <c r="A32"/>
      <c r="B32"/>
      <c r="C32"/>
      <c r="D32"/>
      <c r="E32"/>
      <c r="F32"/>
      <c r="G32" s="26"/>
      <c r="H32" s="26"/>
      <c r="I32" s="26"/>
      <c r="J32" s="40"/>
      <c r="K32" s="40"/>
      <c r="L32" s="40"/>
      <c r="M32" s="40"/>
      <c r="N32" s="40"/>
      <c r="O32" s="40"/>
      <c r="P32" s="40"/>
      <c r="Q32" s="40"/>
      <c r="R32" s="40"/>
    </row>
    <row r="33" spans="1:18" x14ac:dyDescent="0.25">
      <c r="A33"/>
      <c r="B33"/>
      <c r="C33"/>
      <c r="D33"/>
      <c r="E33"/>
      <c r="F33"/>
      <c r="G33" s="26"/>
      <c r="H33" s="26"/>
      <c r="I33" s="26"/>
      <c r="J33" s="40"/>
      <c r="K33" s="40"/>
      <c r="L33" s="40"/>
      <c r="M33" s="40"/>
      <c r="N33" s="40"/>
      <c r="O33" s="40"/>
      <c r="P33" s="40"/>
      <c r="Q33" s="40"/>
      <c r="R33" s="40"/>
    </row>
    <row r="34" spans="1:18" x14ac:dyDescent="0.25">
      <c r="A34"/>
      <c r="B34"/>
      <c r="C34"/>
      <c r="D34"/>
      <c r="E34"/>
      <c r="F34"/>
      <c r="G34" s="26"/>
      <c r="H34" s="26"/>
      <c r="I34" s="26"/>
      <c r="J34" s="40"/>
      <c r="K34" s="40"/>
      <c r="L34" s="40"/>
      <c r="M34" s="40"/>
      <c r="N34" s="40"/>
      <c r="O34" s="40"/>
      <c r="P34" s="40"/>
      <c r="Q34" s="40"/>
      <c r="R34" s="40"/>
    </row>
    <row r="35" spans="1:18" x14ac:dyDescent="0.25">
      <c r="A35"/>
      <c r="B35"/>
      <c r="C35"/>
      <c r="D35"/>
      <c r="E35"/>
      <c r="F35"/>
      <c r="G35" s="26"/>
      <c r="H35" s="26"/>
      <c r="I35" s="26"/>
      <c r="J35" s="40"/>
      <c r="K35" s="40"/>
      <c r="L35" s="40"/>
      <c r="M35" s="40"/>
      <c r="N35" s="40"/>
      <c r="O35" s="40"/>
      <c r="P35" s="40"/>
      <c r="Q35" s="40"/>
      <c r="R35" s="40"/>
    </row>
    <row r="36" spans="1:18" x14ac:dyDescent="0.25">
      <c r="A36" s="26"/>
      <c r="B36" s="39"/>
      <c r="C36" s="26"/>
      <c r="D36" s="26"/>
      <c r="E36" s="26"/>
      <c r="F36" s="26"/>
      <c r="G36" s="26"/>
      <c r="H36" s="26"/>
      <c r="I36" s="26"/>
      <c r="J36" s="40"/>
      <c r="K36" s="40"/>
      <c r="L36" s="40"/>
      <c r="M36" s="40"/>
      <c r="N36" s="40"/>
      <c r="O36" s="40"/>
      <c r="P36" s="40"/>
      <c r="Q36" s="40"/>
      <c r="R36" s="40"/>
    </row>
    <row r="37" spans="1:18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40"/>
      <c r="K37" s="40"/>
      <c r="L37" s="40"/>
      <c r="M37" s="40"/>
      <c r="N37" s="40"/>
      <c r="O37" s="40"/>
      <c r="P37" s="40"/>
      <c r="Q37" s="40"/>
      <c r="R37" s="40"/>
    </row>
    <row r="38" spans="1:18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40"/>
      <c r="K38" s="40"/>
      <c r="L38" s="40"/>
      <c r="M38" s="40"/>
      <c r="N38" s="40"/>
      <c r="O38" s="40"/>
      <c r="P38" s="40"/>
      <c r="Q38" s="40"/>
      <c r="R38" s="40"/>
    </row>
    <row r="39" spans="1:18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40"/>
      <c r="K39" s="40"/>
      <c r="L39" s="40"/>
      <c r="M39" s="40"/>
      <c r="N39" s="40"/>
      <c r="O39" s="40"/>
      <c r="P39" s="40"/>
      <c r="Q39" s="40"/>
      <c r="R39" s="40"/>
    </row>
    <row r="40" spans="1:18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40"/>
      <c r="K40" s="40"/>
      <c r="L40" s="40"/>
      <c r="M40" s="40"/>
      <c r="N40" s="40"/>
      <c r="O40" s="40"/>
      <c r="P40" s="40"/>
      <c r="Q40" s="40"/>
      <c r="R40" s="40"/>
    </row>
    <row r="41" spans="1:18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40"/>
      <c r="K41" s="40"/>
      <c r="L41" s="40"/>
      <c r="M41" s="40"/>
      <c r="N41" s="40"/>
      <c r="O41" s="40"/>
      <c r="P41" s="40"/>
      <c r="Q41" s="40"/>
      <c r="R41" s="40"/>
    </row>
    <row r="42" spans="1:18" x14ac:dyDescent="0.25">
      <c r="A42" s="26"/>
      <c r="B42" s="26"/>
      <c r="C42" s="26"/>
      <c r="D42" s="26"/>
      <c r="E42" s="26"/>
      <c r="F42" s="26"/>
      <c r="G42" s="26"/>
      <c r="H42" s="26"/>
      <c r="I42" s="26"/>
      <c r="J42" s="40"/>
      <c r="K42" s="40"/>
      <c r="L42" s="40"/>
      <c r="M42" s="40"/>
      <c r="N42" s="40"/>
      <c r="O42" s="40"/>
      <c r="P42" s="40"/>
      <c r="Q42" s="40"/>
      <c r="R42" s="40"/>
    </row>
    <row r="43" spans="1:18" x14ac:dyDescent="0.25">
      <c r="A43" s="26"/>
      <c r="B43" s="26"/>
      <c r="C43" s="26"/>
      <c r="D43" s="26"/>
      <c r="E43" s="26"/>
      <c r="F43" s="26"/>
      <c r="G43" s="26"/>
      <c r="H43" s="26"/>
      <c r="I43" s="26"/>
      <c r="J43" s="40"/>
      <c r="K43" s="40"/>
      <c r="L43" s="40"/>
      <c r="M43" s="40"/>
      <c r="N43" s="40"/>
      <c r="O43" s="40"/>
      <c r="P43" s="40"/>
      <c r="Q43" s="40"/>
      <c r="R43" s="40"/>
    </row>
    <row r="44" spans="1:1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40"/>
      <c r="K44" s="40"/>
      <c r="L44" s="40"/>
      <c r="M44" s="40"/>
      <c r="N44" s="40"/>
      <c r="O44" s="40"/>
      <c r="P44" s="40"/>
      <c r="Q44" s="40"/>
      <c r="R44" s="40"/>
    </row>
    <row r="45" spans="1:18" x14ac:dyDescent="0.25">
      <c r="A45" s="26"/>
      <c r="B45" s="26"/>
      <c r="C45" s="26"/>
      <c r="D45" s="26"/>
      <c r="E45" s="26"/>
      <c r="F45" s="26"/>
      <c r="G45" s="26"/>
      <c r="H45" s="26"/>
      <c r="I45" s="26"/>
      <c r="J45" s="40"/>
      <c r="K45" s="40"/>
      <c r="L45" s="40"/>
      <c r="M45" s="40"/>
      <c r="N45" s="40"/>
      <c r="O45" s="40"/>
      <c r="P45" s="40"/>
      <c r="Q45" s="40"/>
      <c r="R45" s="40"/>
    </row>
    <row r="46" spans="1:18" x14ac:dyDescent="0.25">
      <c r="A46" s="26"/>
      <c r="B46" s="26"/>
      <c r="C46" s="26"/>
      <c r="D46" s="26"/>
      <c r="E46" s="26"/>
      <c r="F46" s="26"/>
      <c r="G46" s="26"/>
      <c r="H46" s="26"/>
      <c r="I46" s="26"/>
      <c r="J46" s="40"/>
      <c r="K46" s="40"/>
      <c r="L46" s="40"/>
      <c r="M46" s="40"/>
      <c r="N46" s="40"/>
      <c r="O46" s="40"/>
      <c r="P46" s="40"/>
      <c r="Q46" s="40"/>
      <c r="R46" s="40"/>
    </row>
    <row r="47" spans="1:18" x14ac:dyDescent="0.25">
      <c r="A47" s="26"/>
      <c r="B47" s="26"/>
      <c r="C47" s="26"/>
      <c r="D47" s="26"/>
      <c r="E47" s="26"/>
      <c r="F47" s="26"/>
      <c r="G47" s="26"/>
      <c r="H47" s="26"/>
      <c r="I47" s="26"/>
      <c r="J47" s="40"/>
      <c r="K47" s="40"/>
      <c r="L47" s="40"/>
      <c r="M47" s="40"/>
      <c r="N47" s="40"/>
      <c r="O47" s="40"/>
      <c r="P47" s="40"/>
      <c r="Q47" s="40"/>
      <c r="R47" s="40"/>
    </row>
    <row r="48" spans="1:18" x14ac:dyDescent="0.25">
      <c r="A48" s="26"/>
      <c r="B48" s="26"/>
      <c r="C48" s="26"/>
      <c r="D48" s="26"/>
      <c r="E48" s="26"/>
      <c r="F48" s="26"/>
      <c r="G48" s="26"/>
      <c r="H48" s="26"/>
      <c r="I48" s="26"/>
      <c r="J48" s="40"/>
      <c r="K48" s="40"/>
      <c r="L48" s="40"/>
      <c r="M48" s="40"/>
      <c r="N48" s="40"/>
      <c r="O48" s="40"/>
      <c r="P48" s="40"/>
      <c r="Q48" s="40"/>
      <c r="R48" s="40"/>
    </row>
    <row r="49" spans="1:18" x14ac:dyDescent="0.25">
      <c r="A49" s="26"/>
      <c r="B49" s="26"/>
      <c r="C49" s="26"/>
      <c r="D49" s="26"/>
      <c r="E49" s="26"/>
      <c r="F49" s="26"/>
      <c r="G49" s="26"/>
      <c r="H49" s="26"/>
      <c r="I49" s="26"/>
      <c r="J49" s="40"/>
      <c r="K49" s="40"/>
      <c r="L49" s="40"/>
      <c r="M49" s="40"/>
      <c r="N49" s="40"/>
      <c r="O49" s="40"/>
      <c r="P49" s="40"/>
      <c r="Q49" s="40"/>
      <c r="R49" s="40"/>
    </row>
    <row r="50" spans="1:18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40"/>
      <c r="K50" s="40"/>
      <c r="L50" s="40"/>
      <c r="M50" s="40"/>
      <c r="N50" s="40"/>
      <c r="O50" s="40"/>
      <c r="P50" s="40"/>
      <c r="Q50" s="40"/>
      <c r="R50" s="40"/>
    </row>
    <row r="51" spans="1:18" x14ac:dyDescent="0.25">
      <c r="A51" s="26"/>
      <c r="B51" s="26"/>
      <c r="C51" s="26"/>
      <c r="D51" s="26"/>
      <c r="E51" s="26"/>
      <c r="F51" s="26"/>
      <c r="G51" s="26"/>
      <c r="H51" s="26"/>
      <c r="I51" s="26"/>
      <c r="J51" s="40"/>
      <c r="K51" s="40"/>
      <c r="L51" s="40"/>
      <c r="M51" s="40"/>
      <c r="N51" s="40"/>
      <c r="O51" s="40"/>
      <c r="P51" s="40"/>
      <c r="Q51" s="40"/>
      <c r="R51" s="40"/>
    </row>
    <row r="52" spans="1:18" x14ac:dyDescent="0.25">
      <c r="A52" s="26"/>
      <c r="B52" s="26"/>
      <c r="C52" s="26"/>
      <c r="D52" s="26"/>
      <c r="E52" s="26"/>
      <c r="F52" s="26"/>
      <c r="G52" s="26"/>
      <c r="H52" s="26"/>
      <c r="I52" s="26"/>
      <c r="J52" s="40"/>
      <c r="K52" s="40"/>
      <c r="L52" s="40"/>
      <c r="M52" s="40"/>
      <c r="N52" s="40"/>
      <c r="O52" s="40"/>
      <c r="P52" s="40"/>
      <c r="Q52" s="40"/>
      <c r="R52" s="40"/>
    </row>
    <row r="53" spans="1:18" x14ac:dyDescent="0.25">
      <c r="A53"/>
      <c r="B53"/>
      <c r="C53"/>
      <c r="D53"/>
      <c r="E53"/>
      <c r="F53"/>
      <c r="G53"/>
      <c r="H53"/>
      <c r="I53"/>
    </row>
    <row r="54" spans="1:18" x14ac:dyDescent="0.25">
      <c r="A54"/>
      <c r="B54"/>
      <c r="C54"/>
      <c r="D54"/>
      <c r="E54"/>
      <c r="F54"/>
      <c r="G54"/>
      <c r="H54"/>
      <c r="I54"/>
    </row>
    <row r="55" spans="1:18" x14ac:dyDescent="0.25">
      <c r="A55"/>
      <c r="B55"/>
      <c r="C55"/>
      <c r="D55"/>
      <c r="E55"/>
      <c r="F55"/>
      <c r="G55"/>
      <c r="H55"/>
      <c r="I55"/>
    </row>
    <row r="56" spans="1:18" x14ac:dyDescent="0.25">
      <c r="A56"/>
      <c r="B56"/>
      <c r="C56"/>
      <c r="D56"/>
      <c r="E56"/>
      <c r="F56"/>
      <c r="G56"/>
      <c r="H56"/>
      <c r="I56"/>
    </row>
    <row r="57" spans="1:18" x14ac:dyDescent="0.25">
      <c r="A57"/>
      <c r="B57"/>
      <c r="C57"/>
      <c r="D57"/>
      <c r="E57"/>
      <c r="F57"/>
      <c r="G57"/>
      <c r="H57"/>
      <c r="I57"/>
    </row>
    <row r="58" spans="1:18" x14ac:dyDescent="0.25">
      <c r="A58"/>
      <c r="B58"/>
      <c r="C58"/>
      <c r="D58"/>
      <c r="E58"/>
      <c r="F58"/>
      <c r="G58"/>
      <c r="H58"/>
      <c r="I58"/>
    </row>
    <row r="59" spans="1:18" x14ac:dyDescent="0.25">
      <c r="A59"/>
      <c r="B59"/>
      <c r="C59"/>
      <c r="D59"/>
      <c r="E59"/>
      <c r="F59"/>
      <c r="G59"/>
      <c r="H59"/>
      <c r="I59"/>
    </row>
    <row r="60" spans="1:18" x14ac:dyDescent="0.25">
      <c r="A60"/>
      <c r="B60"/>
      <c r="C60"/>
      <c r="D60"/>
      <c r="E60"/>
      <c r="F60"/>
      <c r="G60"/>
      <c r="H60"/>
      <c r="I60"/>
    </row>
    <row r="61" spans="1:18" x14ac:dyDescent="0.25">
      <c r="A61"/>
      <c r="B61"/>
      <c r="C61"/>
      <c r="D61"/>
      <c r="E61"/>
      <c r="F61"/>
      <c r="G61"/>
      <c r="H61"/>
      <c r="I61"/>
    </row>
    <row r="62" spans="1:18" x14ac:dyDescent="0.25">
      <c r="A62"/>
      <c r="B62"/>
      <c r="C62"/>
      <c r="D62"/>
      <c r="E62"/>
      <c r="F62"/>
      <c r="G62"/>
      <c r="H62"/>
      <c r="I62"/>
    </row>
    <row r="63" spans="1:18" x14ac:dyDescent="0.25">
      <c r="A63"/>
      <c r="B63"/>
      <c r="C63"/>
      <c r="D63"/>
      <c r="E63"/>
      <c r="F63"/>
      <c r="G63"/>
      <c r="H63"/>
      <c r="I63"/>
    </row>
    <row r="64" spans="1:18" x14ac:dyDescent="0.25">
      <c r="A64"/>
      <c r="B64"/>
      <c r="C64"/>
      <c r="D64"/>
      <c r="E64"/>
      <c r="F64"/>
      <c r="G64"/>
      <c r="H64"/>
      <c r="I64"/>
    </row>
    <row r="65" spans="1:9" x14ac:dyDescent="0.25">
      <c r="A65"/>
      <c r="B65"/>
      <c r="C65"/>
      <c r="D65"/>
      <c r="E65"/>
      <c r="F65"/>
      <c r="G65"/>
      <c r="H65"/>
      <c r="I65"/>
    </row>
    <row r="66" spans="1:9" x14ac:dyDescent="0.25">
      <c r="A66"/>
      <c r="B66"/>
      <c r="C66"/>
      <c r="D66"/>
      <c r="E66"/>
      <c r="F66"/>
      <c r="G66"/>
      <c r="H66"/>
      <c r="I66"/>
    </row>
    <row r="67" spans="1:9" x14ac:dyDescent="0.25">
      <c r="A67"/>
      <c r="B67"/>
      <c r="C67"/>
      <c r="D67"/>
      <c r="E67"/>
      <c r="F67"/>
      <c r="G67"/>
      <c r="H67"/>
      <c r="I67"/>
    </row>
    <row r="68" spans="1:9" x14ac:dyDescent="0.25">
      <c r="A68"/>
      <c r="B68"/>
      <c r="C68"/>
      <c r="D68"/>
      <c r="E68"/>
      <c r="F68"/>
      <c r="G68"/>
      <c r="H68"/>
      <c r="I68"/>
    </row>
    <row r="69" spans="1:9" x14ac:dyDescent="0.25">
      <c r="A69"/>
      <c r="B69"/>
      <c r="C69"/>
      <c r="D69"/>
      <c r="E69"/>
      <c r="F69"/>
      <c r="G69"/>
      <c r="H69"/>
      <c r="I69"/>
    </row>
    <row r="70" spans="1:9" x14ac:dyDescent="0.25">
      <c r="A70"/>
      <c r="B70"/>
      <c r="C70"/>
      <c r="D70"/>
      <c r="E70"/>
      <c r="F70"/>
      <c r="G70"/>
      <c r="H70"/>
      <c r="I70"/>
    </row>
    <row r="71" spans="1:9" x14ac:dyDescent="0.25">
      <c r="A71"/>
      <c r="B71"/>
      <c r="C71"/>
      <c r="D71"/>
      <c r="E71"/>
      <c r="F71"/>
      <c r="G71"/>
      <c r="H71"/>
      <c r="I71"/>
    </row>
    <row r="72" spans="1:9" x14ac:dyDescent="0.25">
      <c r="A72"/>
      <c r="B72"/>
      <c r="C72"/>
      <c r="D72"/>
      <c r="E72"/>
      <c r="F72"/>
      <c r="G72"/>
      <c r="H72"/>
      <c r="I72"/>
    </row>
    <row r="73" spans="1:9" x14ac:dyDescent="0.25">
      <c r="A73"/>
      <c r="B73"/>
      <c r="C73"/>
      <c r="D73"/>
      <c r="E73"/>
      <c r="F73"/>
      <c r="G73"/>
      <c r="H73"/>
      <c r="I73"/>
    </row>
    <row r="74" spans="1:9" x14ac:dyDescent="0.25">
      <c r="A74"/>
      <c r="B74"/>
      <c r="C74"/>
      <c r="D74"/>
      <c r="E74"/>
      <c r="F74"/>
      <c r="G74"/>
      <c r="H74"/>
      <c r="I74"/>
    </row>
    <row r="75" spans="1:9" x14ac:dyDescent="0.25">
      <c r="A75"/>
      <c r="B75"/>
      <c r="C75"/>
      <c r="D75"/>
      <c r="E75"/>
      <c r="F75"/>
      <c r="G75"/>
      <c r="H75"/>
      <c r="I75"/>
    </row>
    <row r="76" spans="1:9" x14ac:dyDescent="0.25">
      <c r="A76"/>
      <c r="B76"/>
      <c r="C76"/>
      <c r="D76"/>
      <c r="E76"/>
      <c r="F76"/>
      <c r="G76"/>
      <c r="H76"/>
      <c r="I76"/>
    </row>
    <row r="77" spans="1:9" x14ac:dyDescent="0.25">
      <c r="A77"/>
      <c r="B77"/>
      <c r="C77"/>
      <c r="D77"/>
      <c r="E77"/>
      <c r="F77"/>
      <c r="G77"/>
      <c r="H77"/>
      <c r="I77"/>
    </row>
    <row r="78" spans="1:9" x14ac:dyDescent="0.25">
      <c r="A78"/>
      <c r="B78"/>
      <c r="C78"/>
      <c r="D78"/>
      <c r="E78"/>
      <c r="F78"/>
      <c r="G78"/>
      <c r="H78"/>
      <c r="I78"/>
    </row>
    <row r="79" spans="1:9" x14ac:dyDescent="0.25">
      <c r="A79"/>
      <c r="B79"/>
      <c r="C79"/>
      <c r="D79"/>
      <c r="E79"/>
      <c r="F79"/>
      <c r="G79"/>
      <c r="H79"/>
      <c r="I79"/>
    </row>
    <row r="80" spans="1:9" x14ac:dyDescent="0.25">
      <c r="A80"/>
      <c r="B80"/>
      <c r="C80"/>
      <c r="D80"/>
      <c r="E80"/>
      <c r="F80"/>
      <c r="G80"/>
      <c r="H80"/>
      <c r="I80"/>
    </row>
    <row r="81" spans="1:9" x14ac:dyDescent="0.25">
      <c r="A81"/>
      <c r="B81"/>
      <c r="C81"/>
      <c r="D81"/>
      <c r="E81"/>
      <c r="F81"/>
      <c r="G81"/>
      <c r="H81"/>
      <c r="I81"/>
    </row>
    <row r="82" spans="1:9" x14ac:dyDescent="0.25">
      <c r="A82"/>
      <c r="B82"/>
      <c r="C82"/>
      <c r="D82"/>
      <c r="E82"/>
      <c r="F82"/>
      <c r="G82"/>
      <c r="H82"/>
      <c r="I82"/>
    </row>
    <row r="83" spans="1:9" x14ac:dyDescent="0.25">
      <c r="A83"/>
      <c r="B83"/>
      <c r="C83"/>
      <c r="D83"/>
      <c r="E83"/>
      <c r="F83"/>
      <c r="G83"/>
      <c r="H83"/>
      <c r="I83"/>
    </row>
    <row r="84" spans="1:9" x14ac:dyDescent="0.25">
      <c r="A84"/>
      <c r="B84"/>
      <c r="C84"/>
      <c r="D84"/>
      <c r="E84"/>
      <c r="F84"/>
      <c r="G84"/>
      <c r="H84"/>
      <c r="I84"/>
    </row>
    <row r="85" spans="1:9" x14ac:dyDescent="0.25">
      <c r="A85"/>
      <c r="B85"/>
      <c r="C85"/>
      <c r="D85"/>
      <c r="E85"/>
      <c r="F85"/>
      <c r="G85"/>
      <c r="H85"/>
      <c r="I85"/>
    </row>
    <row r="86" spans="1:9" x14ac:dyDescent="0.25">
      <c r="A86"/>
      <c r="B86"/>
      <c r="C86"/>
      <c r="D86"/>
      <c r="E86"/>
      <c r="F86"/>
      <c r="G86"/>
      <c r="H86"/>
      <c r="I86"/>
    </row>
    <row r="87" spans="1:9" x14ac:dyDescent="0.25">
      <c r="A87"/>
      <c r="B87"/>
      <c r="C87"/>
      <c r="D87"/>
      <c r="E87"/>
      <c r="F87"/>
      <c r="G87"/>
      <c r="H87"/>
      <c r="I87"/>
    </row>
    <row r="88" spans="1:9" x14ac:dyDescent="0.25">
      <c r="A88"/>
      <c r="B88"/>
      <c r="C88"/>
      <c r="D88"/>
      <c r="E88"/>
      <c r="F88"/>
      <c r="G88"/>
      <c r="H88"/>
      <c r="I88"/>
    </row>
    <row r="89" spans="1:9" x14ac:dyDescent="0.25">
      <c r="A89"/>
      <c r="B89"/>
      <c r="C89"/>
      <c r="D89"/>
      <c r="E89"/>
      <c r="F89"/>
      <c r="G89"/>
      <c r="H89"/>
      <c r="I89"/>
    </row>
    <row r="90" spans="1:9" x14ac:dyDescent="0.25">
      <c r="A90"/>
      <c r="B90"/>
      <c r="C90"/>
      <c r="D90"/>
      <c r="E90"/>
      <c r="F90"/>
      <c r="G90"/>
      <c r="H90"/>
      <c r="I90"/>
    </row>
    <row r="91" spans="1:9" x14ac:dyDescent="0.25">
      <c r="A91"/>
      <c r="B91"/>
      <c r="C91"/>
      <c r="D91"/>
      <c r="E91"/>
      <c r="F91"/>
      <c r="G91"/>
      <c r="H91"/>
      <c r="I91"/>
    </row>
    <row r="92" spans="1:9" x14ac:dyDescent="0.25">
      <c r="A92"/>
      <c r="B92"/>
      <c r="C92"/>
      <c r="D92"/>
      <c r="E92"/>
      <c r="F92"/>
      <c r="G92"/>
      <c r="H92"/>
      <c r="I92"/>
    </row>
    <row r="93" spans="1:9" x14ac:dyDescent="0.25">
      <c r="A93"/>
      <c r="B93"/>
      <c r="C93"/>
      <c r="D93"/>
      <c r="E93"/>
      <c r="F93"/>
      <c r="G93"/>
      <c r="H93"/>
      <c r="I93"/>
    </row>
    <row r="94" spans="1:9" x14ac:dyDescent="0.25">
      <c r="A94"/>
      <c r="B94"/>
      <c r="C94"/>
      <c r="D94"/>
      <c r="E94"/>
      <c r="F94"/>
      <c r="G94"/>
      <c r="H94"/>
      <c r="I94"/>
    </row>
    <row r="95" spans="1:9" x14ac:dyDescent="0.25">
      <c r="A95"/>
      <c r="B95"/>
      <c r="C95"/>
      <c r="D95"/>
      <c r="E95"/>
      <c r="F95"/>
      <c r="G95"/>
      <c r="H95"/>
      <c r="I95"/>
    </row>
    <row r="96" spans="1:9" x14ac:dyDescent="0.25">
      <c r="A96"/>
      <c r="B96"/>
      <c r="C96"/>
      <c r="D96"/>
      <c r="E96"/>
      <c r="F96"/>
      <c r="G96"/>
      <c r="H96"/>
      <c r="I96"/>
    </row>
    <row r="97" spans="1:9" x14ac:dyDescent="0.25">
      <c r="A97"/>
      <c r="B97"/>
      <c r="C97"/>
      <c r="D97"/>
      <c r="E97"/>
      <c r="F97"/>
      <c r="G97"/>
      <c r="H97"/>
      <c r="I97"/>
    </row>
    <row r="98" spans="1:9" x14ac:dyDescent="0.25">
      <c r="A98"/>
      <c r="B98"/>
      <c r="C98"/>
      <c r="D98"/>
      <c r="E98"/>
      <c r="F98"/>
      <c r="G98"/>
      <c r="H98"/>
      <c r="I98"/>
    </row>
    <row r="99" spans="1:9" x14ac:dyDescent="0.25">
      <c r="A99"/>
      <c r="B99"/>
      <c r="C99"/>
      <c r="D99"/>
      <c r="E99"/>
      <c r="F99"/>
      <c r="G99"/>
      <c r="H99"/>
      <c r="I99"/>
    </row>
    <row r="100" spans="1:9" x14ac:dyDescent="0.25">
      <c r="A100"/>
      <c r="B100"/>
      <c r="C100"/>
      <c r="D100"/>
      <c r="E100"/>
      <c r="F100"/>
      <c r="G100"/>
      <c r="H100"/>
      <c r="I100"/>
    </row>
    <row r="101" spans="1:9" x14ac:dyDescent="0.25">
      <c r="A101"/>
      <c r="B101"/>
      <c r="C101"/>
      <c r="D101"/>
      <c r="E101"/>
      <c r="F101"/>
      <c r="G101"/>
      <c r="H101"/>
      <c r="I101"/>
    </row>
    <row r="102" spans="1:9" x14ac:dyDescent="0.25">
      <c r="A102"/>
      <c r="B102"/>
      <c r="C102"/>
      <c r="D102"/>
      <c r="E102"/>
      <c r="F102"/>
      <c r="G102"/>
      <c r="H102"/>
      <c r="I102"/>
    </row>
    <row r="103" spans="1:9" x14ac:dyDescent="0.25">
      <c r="A103"/>
      <c r="B103"/>
      <c r="C103"/>
      <c r="D103"/>
      <c r="E103"/>
      <c r="F103"/>
      <c r="G103"/>
      <c r="H103"/>
      <c r="I103"/>
    </row>
    <row r="104" spans="1:9" x14ac:dyDescent="0.25">
      <c r="A104"/>
      <c r="B104"/>
      <c r="C104"/>
      <c r="D104"/>
      <c r="E104"/>
      <c r="F104"/>
      <c r="G104"/>
      <c r="H104"/>
      <c r="I104"/>
    </row>
    <row r="105" spans="1:9" x14ac:dyDescent="0.25">
      <c r="A105"/>
      <c r="B105"/>
      <c r="C105"/>
      <c r="D105"/>
      <c r="E105"/>
      <c r="F105"/>
      <c r="G105"/>
      <c r="H105"/>
      <c r="I105"/>
    </row>
    <row r="106" spans="1:9" x14ac:dyDescent="0.25">
      <c r="A106"/>
      <c r="B106"/>
      <c r="C106"/>
      <c r="D106"/>
      <c r="E106"/>
      <c r="F106"/>
      <c r="G106"/>
      <c r="H106"/>
      <c r="I106"/>
    </row>
    <row r="107" spans="1:9" x14ac:dyDescent="0.25">
      <c r="A107"/>
      <c r="B107"/>
      <c r="C107"/>
      <c r="D107"/>
      <c r="E107"/>
      <c r="F107"/>
      <c r="G107"/>
      <c r="H107"/>
      <c r="I107"/>
    </row>
    <row r="108" spans="1:9" x14ac:dyDescent="0.25">
      <c r="A108"/>
      <c r="B108"/>
      <c r="C108"/>
      <c r="D108"/>
      <c r="E108"/>
      <c r="F108"/>
      <c r="G108"/>
      <c r="H108"/>
      <c r="I108"/>
    </row>
    <row r="109" spans="1:9" x14ac:dyDescent="0.25">
      <c r="A109"/>
      <c r="B109"/>
      <c r="C109"/>
      <c r="D109"/>
      <c r="E109"/>
      <c r="F109"/>
      <c r="G109"/>
      <c r="H109"/>
      <c r="I109"/>
    </row>
    <row r="110" spans="1:9" x14ac:dyDescent="0.25">
      <c r="A110"/>
      <c r="B110"/>
      <c r="C110"/>
      <c r="D110"/>
      <c r="E110"/>
      <c r="F110"/>
      <c r="G110"/>
      <c r="H110"/>
      <c r="I110"/>
    </row>
    <row r="111" spans="1:9" x14ac:dyDescent="0.25">
      <c r="A111"/>
      <c r="B111"/>
      <c r="C111"/>
      <c r="D111"/>
      <c r="E111"/>
      <c r="F111"/>
      <c r="G111"/>
      <c r="H111"/>
      <c r="I111"/>
    </row>
    <row r="112" spans="1:9" x14ac:dyDescent="0.25">
      <c r="A112"/>
      <c r="B112"/>
      <c r="C112"/>
      <c r="D112"/>
      <c r="E112"/>
      <c r="F112"/>
      <c r="G112"/>
      <c r="H112"/>
      <c r="I112"/>
    </row>
    <row r="113" spans="1:9" x14ac:dyDescent="0.25">
      <c r="A113"/>
      <c r="B113"/>
      <c r="C113"/>
      <c r="D113"/>
      <c r="E113"/>
      <c r="F113"/>
      <c r="G113"/>
      <c r="H113"/>
      <c r="I113"/>
    </row>
    <row r="114" spans="1:9" x14ac:dyDescent="0.25">
      <c r="A114"/>
      <c r="B114"/>
      <c r="C114"/>
      <c r="D114"/>
      <c r="E114"/>
      <c r="F114"/>
      <c r="G114"/>
      <c r="H114"/>
      <c r="I114"/>
    </row>
    <row r="115" spans="1:9" x14ac:dyDescent="0.25">
      <c r="A115"/>
      <c r="B115"/>
      <c r="C115"/>
      <c r="D115"/>
      <c r="E115"/>
      <c r="F115"/>
      <c r="G115"/>
      <c r="H115"/>
      <c r="I115"/>
    </row>
    <row r="116" spans="1:9" x14ac:dyDescent="0.25">
      <c r="A116"/>
      <c r="B116"/>
      <c r="C116"/>
      <c r="D116"/>
      <c r="E116"/>
      <c r="F116"/>
      <c r="G116"/>
      <c r="H116"/>
      <c r="I116"/>
    </row>
    <row r="117" spans="1:9" x14ac:dyDescent="0.25">
      <c r="A117"/>
      <c r="B117"/>
      <c r="C117"/>
      <c r="D117"/>
      <c r="E117"/>
      <c r="F117"/>
      <c r="G117"/>
      <c r="H117"/>
      <c r="I117"/>
    </row>
    <row r="118" spans="1:9" x14ac:dyDescent="0.25">
      <c r="A118"/>
      <c r="B118"/>
      <c r="C118"/>
      <c r="D118"/>
      <c r="E118"/>
      <c r="F118"/>
      <c r="G118"/>
      <c r="H118"/>
      <c r="I118"/>
    </row>
    <row r="119" spans="1:9" x14ac:dyDescent="0.25">
      <c r="A119"/>
      <c r="B119"/>
      <c r="C119"/>
      <c r="D119"/>
      <c r="E119"/>
      <c r="F119"/>
      <c r="G119"/>
      <c r="H119"/>
      <c r="I119"/>
    </row>
    <row r="120" spans="1:9" x14ac:dyDescent="0.25">
      <c r="A120"/>
      <c r="B120"/>
      <c r="C120"/>
      <c r="D120"/>
      <c r="E120"/>
      <c r="F120"/>
      <c r="G120"/>
      <c r="H120"/>
      <c r="I120"/>
    </row>
    <row r="121" spans="1:9" x14ac:dyDescent="0.25">
      <c r="A121"/>
      <c r="B121"/>
      <c r="C121"/>
      <c r="D121"/>
      <c r="E121"/>
      <c r="F121"/>
      <c r="G121"/>
      <c r="H121"/>
      <c r="I121"/>
    </row>
    <row r="122" spans="1:9" x14ac:dyDescent="0.25">
      <c r="A122"/>
      <c r="B122"/>
      <c r="C122"/>
      <c r="D122"/>
      <c r="E122"/>
      <c r="F122"/>
      <c r="G122"/>
      <c r="H122"/>
      <c r="I122"/>
    </row>
    <row r="123" spans="1:9" x14ac:dyDescent="0.25">
      <c r="A123"/>
      <c r="B123"/>
      <c r="C123"/>
      <c r="D123"/>
      <c r="E123"/>
      <c r="F123"/>
      <c r="G123"/>
      <c r="H123"/>
      <c r="I123"/>
    </row>
    <row r="124" spans="1:9" x14ac:dyDescent="0.25">
      <c r="A124"/>
      <c r="B124"/>
      <c r="C124"/>
      <c r="D124"/>
      <c r="E124"/>
      <c r="F124"/>
      <c r="G124"/>
      <c r="H124"/>
      <c r="I124"/>
    </row>
    <row r="125" spans="1:9" x14ac:dyDescent="0.25">
      <c r="A125"/>
      <c r="B125"/>
      <c r="C125"/>
      <c r="D125"/>
      <c r="E125"/>
      <c r="F125"/>
      <c r="G125"/>
      <c r="H125"/>
      <c r="I125"/>
    </row>
    <row r="126" spans="1:9" x14ac:dyDescent="0.25">
      <c r="A126"/>
      <c r="B126"/>
      <c r="C126"/>
      <c r="D126"/>
      <c r="E126"/>
      <c r="F126"/>
      <c r="G126"/>
      <c r="H126"/>
      <c r="I126"/>
    </row>
    <row r="127" spans="1:9" x14ac:dyDescent="0.25">
      <c r="A127"/>
      <c r="B127"/>
      <c r="C127"/>
      <c r="D127"/>
      <c r="E127"/>
      <c r="F127"/>
      <c r="G127"/>
      <c r="H127"/>
      <c r="I127"/>
    </row>
    <row r="128" spans="1:9" x14ac:dyDescent="0.25">
      <c r="A128"/>
      <c r="B128"/>
      <c r="C128"/>
      <c r="D128"/>
      <c r="E128"/>
      <c r="F128"/>
      <c r="G128"/>
      <c r="H128"/>
      <c r="I128"/>
    </row>
    <row r="129" spans="1:9" x14ac:dyDescent="0.25">
      <c r="A129"/>
      <c r="B129"/>
      <c r="C129"/>
      <c r="D129"/>
      <c r="E129"/>
      <c r="F129"/>
      <c r="G129"/>
      <c r="H129"/>
      <c r="I129"/>
    </row>
    <row r="130" spans="1:9" x14ac:dyDescent="0.25">
      <c r="A130"/>
      <c r="B130"/>
      <c r="C130"/>
      <c r="D130"/>
      <c r="E130"/>
      <c r="F130"/>
      <c r="G130"/>
      <c r="H130"/>
      <c r="I130"/>
    </row>
    <row r="131" spans="1:9" x14ac:dyDescent="0.25">
      <c r="A131"/>
      <c r="B131"/>
      <c r="C131"/>
      <c r="D131"/>
      <c r="E131"/>
      <c r="F131"/>
      <c r="G131"/>
      <c r="H131"/>
      <c r="I131"/>
    </row>
    <row r="132" spans="1:9" x14ac:dyDescent="0.25">
      <c r="A132"/>
      <c r="B132"/>
      <c r="C132"/>
      <c r="D132"/>
      <c r="E132"/>
      <c r="F132"/>
      <c r="G132"/>
      <c r="H132"/>
      <c r="I132"/>
    </row>
    <row r="133" spans="1:9" x14ac:dyDescent="0.25">
      <c r="A133"/>
      <c r="B133"/>
      <c r="C133"/>
      <c r="D133"/>
      <c r="E133"/>
      <c r="F133"/>
      <c r="G133"/>
      <c r="H133"/>
      <c r="I133"/>
    </row>
    <row r="134" spans="1:9" x14ac:dyDescent="0.25">
      <c r="A134"/>
      <c r="B134"/>
      <c r="C134"/>
      <c r="D134"/>
      <c r="E134"/>
      <c r="F134"/>
      <c r="G134"/>
      <c r="H134"/>
      <c r="I134"/>
    </row>
    <row r="135" spans="1:9" x14ac:dyDescent="0.25">
      <c r="A135"/>
      <c r="B135"/>
      <c r="C135"/>
      <c r="D135"/>
      <c r="E135"/>
      <c r="F135"/>
      <c r="G135"/>
      <c r="H135"/>
      <c r="I135"/>
    </row>
    <row r="136" spans="1:9" x14ac:dyDescent="0.25">
      <c r="A136"/>
      <c r="B136"/>
      <c r="C136"/>
      <c r="D136"/>
      <c r="E136"/>
      <c r="F136"/>
      <c r="G136"/>
      <c r="H136"/>
      <c r="I136"/>
    </row>
    <row r="137" spans="1:9" x14ac:dyDescent="0.25">
      <c r="A137"/>
      <c r="B137"/>
      <c r="C137"/>
      <c r="D137"/>
      <c r="E137"/>
      <c r="F137"/>
      <c r="G137"/>
      <c r="H137"/>
      <c r="I137"/>
    </row>
    <row r="138" spans="1:9" x14ac:dyDescent="0.25">
      <c r="A138"/>
      <c r="B138"/>
      <c r="C138"/>
      <c r="D138"/>
      <c r="E138"/>
      <c r="F138"/>
      <c r="G138"/>
      <c r="H138"/>
      <c r="I138"/>
    </row>
    <row r="139" spans="1:9" x14ac:dyDescent="0.25">
      <c r="A139"/>
      <c r="B139"/>
      <c r="C139"/>
      <c r="D139"/>
      <c r="E139"/>
      <c r="F139"/>
      <c r="G139"/>
      <c r="H139"/>
      <c r="I139"/>
    </row>
    <row r="140" spans="1:9" x14ac:dyDescent="0.25">
      <c r="A140"/>
      <c r="B140"/>
      <c r="C140"/>
      <c r="D140"/>
      <c r="E140"/>
      <c r="F140"/>
      <c r="G140"/>
      <c r="H140"/>
      <c r="I140"/>
    </row>
    <row r="141" spans="1:9" x14ac:dyDescent="0.25">
      <c r="A141"/>
      <c r="B141"/>
      <c r="C141"/>
      <c r="D141"/>
      <c r="E141"/>
      <c r="F141"/>
      <c r="G141"/>
      <c r="H141"/>
      <c r="I141"/>
    </row>
    <row r="142" spans="1:9" x14ac:dyDescent="0.25">
      <c r="A142"/>
      <c r="B142"/>
      <c r="C142"/>
      <c r="D142"/>
      <c r="E142"/>
      <c r="F142"/>
      <c r="G142"/>
      <c r="H142"/>
      <c r="I142"/>
    </row>
    <row r="143" spans="1:9" x14ac:dyDescent="0.25">
      <c r="A143"/>
      <c r="B143"/>
      <c r="C143"/>
      <c r="D143"/>
      <c r="E143"/>
      <c r="F143"/>
      <c r="G143"/>
      <c r="H143"/>
      <c r="I143"/>
    </row>
    <row r="144" spans="1:9" x14ac:dyDescent="0.25">
      <c r="A144"/>
      <c r="B144"/>
      <c r="C144"/>
      <c r="D144"/>
      <c r="E144"/>
      <c r="F144"/>
      <c r="G144"/>
      <c r="H144"/>
      <c r="I144"/>
    </row>
    <row r="145" spans="1:9" x14ac:dyDescent="0.25">
      <c r="A145"/>
      <c r="B145"/>
      <c r="C145"/>
      <c r="D145"/>
      <c r="E145"/>
      <c r="F145"/>
      <c r="G145"/>
      <c r="H145"/>
      <c r="I145"/>
    </row>
    <row r="146" spans="1:9" x14ac:dyDescent="0.25">
      <c r="A146"/>
      <c r="B146"/>
      <c r="C146"/>
      <c r="D146"/>
      <c r="E146"/>
      <c r="F146"/>
      <c r="G146"/>
      <c r="H146"/>
      <c r="I146"/>
    </row>
    <row r="147" spans="1:9" x14ac:dyDescent="0.25">
      <c r="A147"/>
      <c r="B147"/>
      <c r="C147"/>
      <c r="D147"/>
      <c r="E147"/>
      <c r="F147"/>
      <c r="G147"/>
      <c r="H147"/>
      <c r="I147"/>
    </row>
    <row r="148" spans="1:9" x14ac:dyDescent="0.25">
      <c r="A148"/>
      <c r="B148"/>
      <c r="C148"/>
      <c r="D148"/>
      <c r="E148"/>
      <c r="F148"/>
      <c r="G148"/>
      <c r="H148"/>
      <c r="I148"/>
    </row>
    <row r="149" spans="1:9" x14ac:dyDescent="0.25">
      <c r="A149"/>
      <c r="B149"/>
      <c r="C149"/>
      <c r="D149"/>
      <c r="E149"/>
      <c r="F149"/>
      <c r="G149"/>
      <c r="H149"/>
      <c r="I149"/>
    </row>
    <row r="150" spans="1:9" x14ac:dyDescent="0.25">
      <c r="A150"/>
      <c r="B150"/>
      <c r="C150"/>
      <c r="D150"/>
      <c r="E150"/>
      <c r="F150"/>
      <c r="G150"/>
      <c r="H150"/>
      <c r="I150"/>
    </row>
    <row r="151" spans="1:9" x14ac:dyDescent="0.25">
      <c r="A151"/>
      <c r="B151"/>
      <c r="C151"/>
      <c r="D151"/>
      <c r="E151"/>
      <c r="F151"/>
      <c r="G151"/>
      <c r="H151"/>
      <c r="I151"/>
    </row>
    <row r="152" spans="1:9" x14ac:dyDescent="0.25">
      <c r="A152"/>
      <c r="B152"/>
      <c r="C152"/>
      <c r="D152"/>
      <c r="E152"/>
      <c r="F152"/>
      <c r="G152"/>
      <c r="H152"/>
      <c r="I152"/>
    </row>
    <row r="153" spans="1:9" x14ac:dyDescent="0.25">
      <c r="A153"/>
      <c r="B153"/>
      <c r="C153"/>
      <c r="D153"/>
      <c r="E153"/>
      <c r="F153"/>
      <c r="G153"/>
      <c r="H153"/>
      <c r="I153"/>
    </row>
    <row r="154" spans="1:9" x14ac:dyDescent="0.25">
      <c r="A154"/>
      <c r="B154"/>
      <c r="C154"/>
      <c r="D154"/>
      <c r="E154"/>
      <c r="F154"/>
      <c r="G154"/>
      <c r="H154"/>
      <c r="I154"/>
    </row>
    <row r="155" spans="1:9" x14ac:dyDescent="0.25">
      <c r="A155"/>
      <c r="B155"/>
      <c r="C155"/>
      <c r="D155"/>
      <c r="E155"/>
      <c r="F155"/>
      <c r="G155"/>
      <c r="H155"/>
      <c r="I155"/>
    </row>
    <row r="156" spans="1:9" x14ac:dyDescent="0.25">
      <c r="A156"/>
      <c r="B156"/>
      <c r="C156"/>
      <c r="D156"/>
      <c r="E156"/>
      <c r="F156"/>
      <c r="G156"/>
      <c r="H156"/>
      <c r="I156"/>
    </row>
    <row r="157" spans="1:9" x14ac:dyDescent="0.25">
      <c r="A157"/>
      <c r="B157"/>
      <c r="C157"/>
      <c r="D157"/>
      <c r="E157"/>
      <c r="F157"/>
      <c r="G157"/>
      <c r="H157"/>
      <c r="I157"/>
    </row>
    <row r="158" spans="1:9" x14ac:dyDescent="0.25">
      <c r="A158"/>
      <c r="B158"/>
      <c r="C158"/>
      <c r="D158"/>
      <c r="E158"/>
      <c r="F158"/>
      <c r="G158"/>
      <c r="H158"/>
      <c r="I158"/>
    </row>
    <row r="159" spans="1:9" x14ac:dyDescent="0.25">
      <c r="A159"/>
      <c r="B159"/>
      <c r="C159"/>
      <c r="D159"/>
      <c r="E159"/>
      <c r="F159"/>
      <c r="G159"/>
      <c r="H159"/>
      <c r="I159"/>
    </row>
    <row r="160" spans="1:9" x14ac:dyDescent="0.25">
      <c r="A160"/>
      <c r="B160"/>
      <c r="C160"/>
      <c r="D160"/>
      <c r="E160"/>
      <c r="F160"/>
      <c r="G160"/>
      <c r="H160"/>
      <c r="I160"/>
    </row>
    <row r="161" spans="1:9" x14ac:dyDescent="0.25">
      <c r="A161"/>
      <c r="B161"/>
      <c r="C161"/>
      <c r="D161"/>
      <c r="E161"/>
      <c r="F161"/>
      <c r="G161"/>
      <c r="H161"/>
      <c r="I161"/>
    </row>
    <row r="162" spans="1:9" x14ac:dyDescent="0.25">
      <c r="A162"/>
      <c r="B162"/>
      <c r="C162"/>
      <c r="D162"/>
      <c r="E162"/>
      <c r="F162"/>
      <c r="G162"/>
      <c r="H162"/>
      <c r="I162"/>
    </row>
    <row r="163" spans="1:9" x14ac:dyDescent="0.25">
      <c r="A163"/>
      <c r="B163"/>
      <c r="C163"/>
      <c r="D163"/>
      <c r="E163"/>
      <c r="F163"/>
      <c r="G163"/>
      <c r="H163"/>
      <c r="I163"/>
    </row>
    <row r="164" spans="1:9" x14ac:dyDescent="0.25">
      <c r="A164"/>
      <c r="B164"/>
      <c r="C164"/>
      <c r="D164"/>
      <c r="E164"/>
      <c r="F164"/>
      <c r="G164"/>
      <c r="H164"/>
      <c r="I164"/>
    </row>
    <row r="165" spans="1:9" x14ac:dyDescent="0.25">
      <c r="A165"/>
      <c r="B165"/>
      <c r="C165"/>
      <c r="D165"/>
      <c r="E165"/>
      <c r="F165"/>
      <c r="G165"/>
      <c r="H165"/>
      <c r="I165"/>
    </row>
    <row r="166" spans="1:9" x14ac:dyDescent="0.25">
      <c r="A166"/>
      <c r="B166"/>
      <c r="C166"/>
      <c r="D166"/>
      <c r="E166"/>
      <c r="F166"/>
      <c r="G166"/>
      <c r="H166"/>
      <c r="I166"/>
    </row>
    <row r="167" spans="1:9" x14ac:dyDescent="0.25">
      <c r="A167"/>
      <c r="B167"/>
      <c r="C167"/>
      <c r="D167"/>
      <c r="E167"/>
      <c r="F167"/>
      <c r="G167"/>
      <c r="H167"/>
      <c r="I167"/>
    </row>
    <row r="168" spans="1:9" x14ac:dyDescent="0.25">
      <c r="A168"/>
      <c r="B168"/>
      <c r="C168"/>
      <c r="D168"/>
      <c r="E168"/>
      <c r="F168"/>
      <c r="G168"/>
      <c r="H168"/>
      <c r="I168"/>
    </row>
    <row r="169" spans="1:9" x14ac:dyDescent="0.25">
      <c r="A169"/>
      <c r="B169"/>
      <c r="C169"/>
      <c r="D169"/>
      <c r="E169"/>
      <c r="F169"/>
      <c r="G169"/>
      <c r="H169"/>
      <c r="I169"/>
    </row>
    <row r="170" spans="1:9" x14ac:dyDescent="0.25">
      <c r="A170"/>
      <c r="B170"/>
      <c r="C170"/>
      <c r="D170"/>
      <c r="E170"/>
      <c r="F170"/>
      <c r="G170"/>
      <c r="H170"/>
      <c r="I170"/>
    </row>
    <row r="171" spans="1:9" x14ac:dyDescent="0.25">
      <c r="A171"/>
      <c r="B171"/>
      <c r="C171"/>
      <c r="D171"/>
      <c r="E171"/>
      <c r="F171"/>
      <c r="G171"/>
      <c r="H171"/>
      <c r="I171"/>
    </row>
    <row r="172" spans="1:9" x14ac:dyDescent="0.25">
      <c r="A172"/>
      <c r="B172"/>
      <c r="C172"/>
      <c r="D172"/>
      <c r="E172"/>
      <c r="F172"/>
      <c r="G172"/>
      <c r="H172"/>
      <c r="I172"/>
    </row>
    <row r="173" spans="1:9" x14ac:dyDescent="0.25">
      <c r="A173"/>
      <c r="B173"/>
      <c r="C173"/>
      <c r="D173"/>
      <c r="E173"/>
      <c r="F173"/>
      <c r="G173"/>
      <c r="H173"/>
      <c r="I173"/>
    </row>
    <row r="174" spans="1:9" x14ac:dyDescent="0.25">
      <c r="A174"/>
      <c r="B174"/>
      <c r="C174"/>
      <c r="D174"/>
      <c r="E174"/>
      <c r="F174"/>
      <c r="G174"/>
      <c r="H174"/>
      <c r="I174"/>
    </row>
    <row r="175" spans="1:9" x14ac:dyDescent="0.25">
      <c r="A175"/>
      <c r="B175"/>
      <c r="C175"/>
      <c r="D175"/>
      <c r="E175"/>
      <c r="F175"/>
      <c r="G175"/>
      <c r="H175"/>
      <c r="I175"/>
    </row>
    <row r="176" spans="1:9" x14ac:dyDescent="0.25">
      <c r="A176"/>
      <c r="B176"/>
      <c r="C176"/>
      <c r="D176"/>
      <c r="E176"/>
      <c r="F176"/>
      <c r="G176"/>
      <c r="H176"/>
      <c r="I176"/>
    </row>
    <row r="177" spans="1:9" x14ac:dyDescent="0.25">
      <c r="A177"/>
      <c r="B177"/>
      <c r="C177"/>
      <c r="D177"/>
      <c r="E177"/>
      <c r="F177"/>
      <c r="G177"/>
      <c r="H177"/>
      <c r="I177"/>
    </row>
    <row r="178" spans="1:9" x14ac:dyDescent="0.25">
      <c r="A178"/>
      <c r="B178"/>
      <c r="C178"/>
      <c r="D178"/>
      <c r="E178"/>
      <c r="F178"/>
      <c r="G178"/>
      <c r="H178"/>
      <c r="I178"/>
    </row>
    <row r="179" spans="1:9" x14ac:dyDescent="0.25">
      <c r="A179"/>
      <c r="B179"/>
      <c r="C179"/>
      <c r="D179"/>
      <c r="E179"/>
      <c r="F179"/>
      <c r="G179"/>
      <c r="H179"/>
      <c r="I179"/>
    </row>
    <row r="180" spans="1:9" x14ac:dyDescent="0.25">
      <c r="A180"/>
      <c r="B180"/>
      <c r="C180"/>
      <c r="D180"/>
      <c r="E180"/>
      <c r="F180"/>
      <c r="G180"/>
      <c r="H180"/>
      <c r="I180"/>
    </row>
    <row r="181" spans="1:9" x14ac:dyDescent="0.25">
      <c r="A181"/>
      <c r="B181"/>
      <c r="C181"/>
      <c r="D181"/>
      <c r="E181"/>
      <c r="F181"/>
      <c r="G181"/>
      <c r="H181"/>
      <c r="I181"/>
    </row>
    <row r="182" spans="1:9" x14ac:dyDescent="0.25">
      <c r="A182"/>
      <c r="B182"/>
      <c r="C182"/>
      <c r="D182"/>
      <c r="E182"/>
      <c r="F182"/>
      <c r="G182"/>
      <c r="H182"/>
      <c r="I182"/>
    </row>
    <row r="183" spans="1:9" x14ac:dyDescent="0.25">
      <c r="A183"/>
      <c r="B183"/>
      <c r="C183"/>
      <c r="D183"/>
      <c r="E183"/>
      <c r="F183"/>
      <c r="G183"/>
      <c r="H183"/>
      <c r="I183"/>
    </row>
    <row r="184" spans="1:9" x14ac:dyDescent="0.25">
      <c r="A184"/>
      <c r="B184"/>
      <c r="C184"/>
      <c r="D184"/>
      <c r="E184"/>
      <c r="F184"/>
      <c r="G184"/>
      <c r="H184"/>
      <c r="I184"/>
    </row>
    <row r="185" spans="1:9" x14ac:dyDescent="0.25">
      <c r="A185"/>
      <c r="B185"/>
      <c r="C185"/>
      <c r="D185"/>
      <c r="E185"/>
      <c r="F185"/>
      <c r="G185"/>
      <c r="H185"/>
      <c r="I185"/>
    </row>
    <row r="186" spans="1:9" x14ac:dyDescent="0.25">
      <c r="A186"/>
      <c r="B186"/>
      <c r="C186"/>
      <c r="D186"/>
      <c r="E186"/>
      <c r="F186"/>
      <c r="G186"/>
      <c r="H186"/>
      <c r="I186"/>
    </row>
    <row r="187" spans="1:9" x14ac:dyDescent="0.25">
      <c r="A187"/>
      <c r="B187"/>
      <c r="C187"/>
      <c r="D187"/>
      <c r="E187"/>
      <c r="F187"/>
      <c r="G187"/>
      <c r="H187"/>
      <c r="I187"/>
    </row>
    <row r="188" spans="1:9" x14ac:dyDescent="0.25">
      <c r="A188"/>
      <c r="B188"/>
      <c r="C188"/>
      <c r="D188"/>
      <c r="E188"/>
      <c r="F188"/>
      <c r="G188"/>
      <c r="H188"/>
      <c r="I188"/>
    </row>
    <row r="189" spans="1:9" x14ac:dyDescent="0.25">
      <c r="A189"/>
      <c r="B189"/>
      <c r="C189"/>
      <c r="D189"/>
      <c r="E189"/>
      <c r="F189"/>
      <c r="G189"/>
      <c r="H189"/>
      <c r="I189"/>
    </row>
    <row r="190" spans="1:9" x14ac:dyDescent="0.25">
      <c r="A190"/>
      <c r="B190"/>
      <c r="C190"/>
      <c r="D190"/>
      <c r="E190"/>
      <c r="F190"/>
      <c r="G190"/>
      <c r="H190"/>
      <c r="I190"/>
    </row>
    <row r="191" spans="1:9" x14ac:dyDescent="0.25">
      <c r="A191"/>
      <c r="B191"/>
      <c r="C191"/>
      <c r="D191"/>
      <c r="E191"/>
      <c r="F191"/>
      <c r="G191"/>
      <c r="H191"/>
      <c r="I191"/>
    </row>
    <row r="192" spans="1:9" x14ac:dyDescent="0.25">
      <c r="A192"/>
      <c r="B192"/>
      <c r="C192"/>
      <c r="D192"/>
      <c r="E192"/>
      <c r="F192"/>
      <c r="G192"/>
      <c r="H192"/>
      <c r="I192"/>
    </row>
    <row r="193" spans="1:9" x14ac:dyDescent="0.25">
      <c r="A193"/>
      <c r="B193"/>
      <c r="C193"/>
      <c r="D193"/>
      <c r="E193"/>
      <c r="F193"/>
      <c r="G193"/>
      <c r="H193"/>
      <c r="I193"/>
    </row>
    <row r="194" spans="1:9" x14ac:dyDescent="0.25">
      <c r="A194"/>
      <c r="B194"/>
      <c r="C194"/>
      <c r="D194"/>
      <c r="E194"/>
      <c r="F194"/>
      <c r="G194"/>
      <c r="H194"/>
      <c r="I194"/>
    </row>
    <row r="195" spans="1:9" x14ac:dyDescent="0.25">
      <c r="A195"/>
      <c r="B195"/>
      <c r="C195"/>
      <c r="D195"/>
      <c r="E195"/>
      <c r="F195"/>
      <c r="G195"/>
      <c r="H195"/>
      <c r="I195"/>
    </row>
    <row r="196" spans="1:9" x14ac:dyDescent="0.25">
      <c r="A196"/>
      <c r="B196"/>
      <c r="C196"/>
      <c r="D196"/>
      <c r="E196"/>
      <c r="F196"/>
      <c r="G196"/>
      <c r="H196"/>
      <c r="I196"/>
    </row>
    <row r="197" spans="1:9" x14ac:dyDescent="0.25">
      <c r="A197"/>
      <c r="B197"/>
      <c r="C197"/>
      <c r="D197"/>
      <c r="E197"/>
      <c r="F197"/>
      <c r="G197"/>
      <c r="H197"/>
      <c r="I197"/>
    </row>
    <row r="198" spans="1:9" x14ac:dyDescent="0.25">
      <c r="A198"/>
      <c r="B198"/>
      <c r="C198"/>
      <c r="D198"/>
      <c r="E198"/>
      <c r="F198"/>
      <c r="G198"/>
      <c r="H198"/>
      <c r="I198"/>
    </row>
    <row r="199" spans="1:9" x14ac:dyDescent="0.25">
      <c r="A199"/>
      <c r="B199"/>
      <c r="C199"/>
      <c r="D199"/>
      <c r="E199"/>
      <c r="F199"/>
      <c r="G199"/>
      <c r="H199"/>
      <c r="I199"/>
    </row>
    <row r="200" spans="1:9" x14ac:dyDescent="0.25">
      <c r="A200"/>
      <c r="B200"/>
      <c r="C200"/>
      <c r="D200"/>
      <c r="E200"/>
      <c r="F200"/>
      <c r="G200"/>
      <c r="H200"/>
      <c r="I200"/>
    </row>
    <row r="201" spans="1:9" x14ac:dyDescent="0.25">
      <c r="A201"/>
      <c r="B201"/>
      <c r="C201"/>
      <c r="D201"/>
      <c r="E201"/>
      <c r="F201"/>
      <c r="G201"/>
      <c r="H201"/>
      <c r="I201"/>
    </row>
    <row r="202" spans="1:9" x14ac:dyDescent="0.25">
      <c r="A202"/>
      <c r="B202"/>
      <c r="C202"/>
      <c r="D202"/>
      <c r="E202"/>
      <c r="F202"/>
      <c r="G202"/>
      <c r="H202"/>
      <c r="I202"/>
    </row>
    <row r="203" spans="1:9" x14ac:dyDescent="0.25">
      <c r="A203"/>
      <c r="B203"/>
      <c r="C203"/>
      <c r="D203"/>
      <c r="E203"/>
      <c r="F203"/>
      <c r="G203"/>
      <c r="H203"/>
      <c r="I203"/>
    </row>
    <row r="204" spans="1:9" x14ac:dyDescent="0.25">
      <c r="A204"/>
      <c r="B204"/>
      <c r="C204"/>
      <c r="D204"/>
      <c r="E204"/>
      <c r="F204"/>
      <c r="G204"/>
      <c r="H204"/>
      <c r="I204"/>
    </row>
    <row r="205" spans="1:9" x14ac:dyDescent="0.25">
      <c r="A205"/>
      <c r="B205"/>
      <c r="C205"/>
      <c r="D205"/>
      <c r="E205"/>
      <c r="F205"/>
      <c r="G205"/>
      <c r="H205"/>
      <c r="I205"/>
    </row>
    <row r="206" spans="1:9" x14ac:dyDescent="0.25">
      <c r="A206"/>
      <c r="B206"/>
      <c r="C206"/>
      <c r="D206"/>
      <c r="E206"/>
      <c r="F206"/>
      <c r="G206"/>
      <c r="H206"/>
      <c r="I206"/>
    </row>
    <row r="207" spans="1:9" x14ac:dyDescent="0.25">
      <c r="A207"/>
      <c r="B207"/>
      <c r="C207"/>
      <c r="D207"/>
      <c r="E207"/>
      <c r="F207"/>
      <c r="G207"/>
      <c r="H207"/>
      <c r="I207"/>
    </row>
    <row r="208" spans="1:9" x14ac:dyDescent="0.25">
      <c r="A208"/>
      <c r="B208"/>
      <c r="C208"/>
      <c r="D208"/>
      <c r="E208"/>
      <c r="F208"/>
      <c r="G208"/>
      <c r="H208"/>
      <c r="I208"/>
    </row>
    <row r="209" spans="1:9" x14ac:dyDescent="0.25">
      <c r="A209"/>
      <c r="B209"/>
      <c r="C209"/>
      <c r="D209"/>
      <c r="E209"/>
      <c r="F209"/>
      <c r="G209"/>
      <c r="H209"/>
      <c r="I209"/>
    </row>
    <row r="210" spans="1:9" x14ac:dyDescent="0.25">
      <c r="A210"/>
      <c r="B210"/>
      <c r="C210"/>
      <c r="D210"/>
      <c r="E210"/>
      <c r="F210"/>
      <c r="G210"/>
      <c r="H210"/>
      <c r="I210"/>
    </row>
    <row r="211" spans="1:9" x14ac:dyDescent="0.25">
      <c r="A211"/>
      <c r="B211"/>
      <c r="C211"/>
      <c r="D211"/>
      <c r="E211"/>
      <c r="F211"/>
      <c r="G211"/>
      <c r="H211"/>
      <c r="I211"/>
    </row>
    <row r="212" spans="1:9" x14ac:dyDescent="0.25">
      <c r="A212"/>
      <c r="B212"/>
      <c r="C212"/>
      <c r="D212"/>
      <c r="E212"/>
      <c r="F212"/>
      <c r="G212"/>
      <c r="H212"/>
      <c r="I212"/>
    </row>
    <row r="213" spans="1:9" x14ac:dyDescent="0.25">
      <c r="A213"/>
      <c r="B213"/>
      <c r="C213"/>
      <c r="D213"/>
      <c r="E213"/>
      <c r="F213"/>
      <c r="G213"/>
      <c r="H213"/>
      <c r="I213"/>
    </row>
    <row r="214" spans="1:9" x14ac:dyDescent="0.25">
      <c r="A214"/>
      <c r="B214"/>
      <c r="C214"/>
      <c r="D214"/>
      <c r="E214"/>
      <c r="F214"/>
      <c r="G214"/>
      <c r="H214"/>
      <c r="I214"/>
    </row>
    <row r="215" spans="1:9" x14ac:dyDescent="0.25">
      <c r="A215"/>
      <c r="B215"/>
      <c r="C215"/>
      <c r="D215"/>
      <c r="E215"/>
      <c r="F215"/>
      <c r="G215"/>
      <c r="H215"/>
      <c r="I215"/>
    </row>
    <row r="216" spans="1:9" x14ac:dyDescent="0.25">
      <c r="A216"/>
      <c r="B216"/>
      <c r="C216"/>
      <c r="D216"/>
      <c r="E216"/>
      <c r="F216"/>
      <c r="G216"/>
      <c r="H216"/>
      <c r="I216"/>
    </row>
    <row r="217" spans="1:9" x14ac:dyDescent="0.25">
      <c r="A217"/>
      <c r="B217"/>
      <c r="C217"/>
      <c r="D217"/>
      <c r="E217"/>
      <c r="F217"/>
      <c r="G217"/>
      <c r="H217"/>
      <c r="I217"/>
    </row>
    <row r="218" spans="1:9" x14ac:dyDescent="0.25">
      <c r="A218"/>
      <c r="B218"/>
      <c r="C218"/>
      <c r="D218"/>
      <c r="E218"/>
      <c r="F218"/>
      <c r="G218"/>
      <c r="H218"/>
      <c r="I218"/>
    </row>
    <row r="219" spans="1:9" x14ac:dyDescent="0.25">
      <c r="A219"/>
      <c r="B219"/>
      <c r="C219"/>
      <c r="D219"/>
      <c r="E219"/>
      <c r="F219"/>
      <c r="G219"/>
      <c r="H219"/>
      <c r="I219"/>
    </row>
    <row r="220" spans="1:9" x14ac:dyDescent="0.25">
      <c r="A220"/>
      <c r="B220"/>
      <c r="C220"/>
      <c r="D220"/>
      <c r="E220"/>
      <c r="F220"/>
      <c r="G220"/>
      <c r="H220"/>
      <c r="I220"/>
    </row>
    <row r="221" spans="1:9" x14ac:dyDescent="0.25">
      <c r="A221"/>
      <c r="B221"/>
      <c r="C221"/>
      <c r="D221"/>
      <c r="E221"/>
      <c r="F221"/>
      <c r="G221"/>
      <c r="H221"/>
      <c r="I221"/>
    </row>
    <row r="222" spans="1:9" x14ac:dyDescent="0.25">
      <c r="A222"/>
      <c r="B222"/>
      <c r="C222"/>
      <c r="D222"/>
      <c r="E222"/>
      <c r="F222"/>
      <c r="G222"/>
      <c r="H222"/>
      <c r="I222"/>
    </row>
    <row r="223" spans="1:9" x14ac:dyDescent="0.25">
      <c r="A223"/>
      <c r="B223"/>
      <c r="C223"/>
      <c r="D223"/>
      <c r="E223"/>
      <c r="F223"/>
      <c r="G223"/>
      <c r="H223"/>
      <c r="I223"/>
    </row>
    <row r="224" spans="1:9" x14ac:dyDescent="0.25">
      <c r="A224"/>
      <c r="B224"/>
      <c r="C224"/>
      <c r="D224"/>
      <c r="E224"/>
      <c r="F224"/>
      <c r="G224"/>
      <c r="H224"/>
      <c r="I224"/>
    </row>
    <row r="225" spans="1:9" x14ac:dyDescent="0.25">
      <c r="A225"/>
      <c r="B225"/>
      <c r="C225"/>
      <c r="D225"/>
      <c r="E225"/>
      <c r="F225"/>
      <c r="G225"/>
      <c r="H225"/>
      <c r="I225"/>
    </row>
    <row r="226" spans="1:9" x14ac:dyDescent="0.25">
      <c r="A226"/>
      <c r="B226"/>
      <c r="C226"/>
      <c r="D226"/>
      <c r="E226"/>
      <c r="F226"/>
      <c r="G226"/>
      <c r="H226"/>
      <c r="I226"/>
    </row>
    <row r="227" spans="1:9" x14ac:dyDescent="0.25">
      <c r="A227"/>
      <c r="B227"/>
      <c r="C227"/>
      <c r="D227"/>
      <c r="E227"/>
      <c r="F227"/>
      <c r="G227"/>
      <c r="H227"/>
      <c r="I227"/>
    </row>
    <row r="228" spans="1:9" x14ac:dyDescent="0.25">
      <c r="A228"/>
      <c r="B228"/>
      <c r="C228"/>
      <c r="D228"/>
      <c r="E228"/>
      <c r="F228"/>
      <c r="G228"/>
      <c r="H228"/>
      <c r="I228"/>
    </row>
    <row r="229" spans="1:9" x14ac:dyDescent="0.25">
      <c r="A229"/>
      <c r="B229"/>
      <c r="C229"/>
      <c r="D229"/>
      <c r="E229"/>
      <c r="F229"/>
      <c r="G229"/>
      <c r="H229"/>
      <c r="I229"/>
    </row>
    <row r="230" spans="1:9" x14ac:dyDescent="0.25">
      <c r="A230"/>
      <c r="B230"/>
      <c r="C230"/>
      <c r="D230"/>
      <c r="E230"/>
      <c r="F230"/>
      <c r="G230"/>
      <c r="H230"/>
      <c r="I230"/>
    </row>
    <row r="231" spans="1:9" x14ac:dyDescent="0.25">
      <c r="A231"/>
      <c r="B231"/>
      <c r="C231"/>
      <c r="D231"/>
      <c r="E231"/>
      <c r="F231"/>
      <c r="G231"/>
      <c r="H231"/>
      <c r="I231"/>
    </row>
    <row r="232" spans="1:9" x14ac:dyDescent="0.25">
      <c r="A232"/>
      <c r="B232"/>
      <c r="C232"/>
      <c r="D232"/>
      <c r="E232"/>
      <c r="F232"/>
      <c r="G232"/>
      <c r="H232"/>
      <c r="I232"/>
    </row>
    <row r="233" spans="1:9" x14ac:dyDescent="0.25">
      <c r="A233"/>
      <c r="B233"/>
      <c r="C233"/>
      <c r="D233"/>
      <c r="E233"/>
      <c r="F233"/>
      <c r="G233"/>
      <c r="H233"/>
      <c r="I233"/>
    </row>
    <row r="234" spans="1:9" x14ac:dyDescent="0.25">
      <c r="A234"/>
      <c r="B234"/>
      <c r="C234"/>
      <c r="D234"/>
      <c r="E234"/>
      <c r="F234"/>
      <c r="G234"/>
      <c r="H234"/>
      <c r="I234"/>
    </row>
    <row r="235" spans="1:9" x14ac:dyDescent="0.25">
      <c r="A235"/>
      <c r="B235"/>
      <c r="C235"/>
      <c r="D235"/>
      <c r="E235"/>
      <c r="F235"/>
      <c r="G235"/>
      <c r="H235"/>
      <c r="I235"/>
    </row>
    <row r="236" spans="1:9" x14ac:dyDescent="0.25">
      <c r="A236"/>
      <c r="B236"/>
      <c r="C236"/>
      <c r="D236"/>
      <c r="E236"/>
      <c r="F236"/>
      <c r="G236"/>
      <c r="H236"/>
      <c r="I236"/>
    </row>
    <row r="237" spans="1:9" x14ac:dyDescent="0.25">
      <c r="A237"/>
      <c r="B237"/>
      <c r="C237"/>
      <c r="D237"/>
      <c r="E237"/>
      <c r="F237"/>
      <c r="G237"/>
      <c r="H237"/>
      <c r="I237"/>
    </row>
    <row r="238" spans="1:9" x14ac:dyDescent="0.25">
      <c r="A238"/>
      <c r="B238"/>
      <c r="C238"/>
      <c r="D238"/>
      <c r="E238"/>
      <c r="F238"/>
      <c r="G238"/>
      <c r="H238"/>
      <c r="I238"/>
    </row>
    <row r="239" spans="1:9" x14ac:dyDescent="0.25">
      <c r="A239"/>
      <c r="B239"/>
      <c r="C239"/>
      <c r="D239"/>
      <c r="E239"/>
      <c r="F239"/>
      <c r="G239"/>
      <c r="H239"/>
      <c r="I239"/>
    </row>
    <row r="240" spans="1:9" x14ac:dyDescent="0.25">
      <c r="A240"/>
      <c r="B240"/>
      <c r="C240"/>
      <c r="D240"/>
      <c r="E240"/>
      <c r="F240"/>
      <c r="G240"/>
      <c r="H240"/>
      <c r="I240"/>
    </row>
    <row r="241" spans="1:9" x14ac:dyDescent="0.25">
      <c r="A241"/>
      <c r="B241"/>
      <c r="C241"/>
      <c r="D241"/>
      <c r="E241"/>
      <c r="F241"/>
      <c r="G241"/>
      <c r="H241"/>
      <c r="I241"/>
    </row>
    <row r="242" spans="1:9" x14ac:dyDescent="0.25">
      <c r="A242"/>
      <c r="B242"/>
      <c r="C242"/>
      <c r="D242"/>
      <c r="E242"/>
      <c r="F242"/>
      <c r="G242"/>
      <c r="H242"/>
      <c r="I242"/>
    </row>
    <row r="243" spans="1:9" x14ac:dyDescent="0.25">
      <c r="A243"/>
      <c r="B243"/>
      <c r="C243"/>
      <c r="D243"/>
      <c r="E243"/>
      <c r="F243"/>
      <c r="G243"/>
      <c r="H243"/>
      <c r="I243"/>
    </row>
    <row r="244" spans="1:9" x14ac:dyDescent="0.25">
      <c r="A244"/>
      <c r="B244"/>
      <c r="C244"/>
      <c r="D244"/>
      <c r="E244"/>
      <c r="F244"/>
      <c r="G244"/>
      <c r="H244"/>
      <c r="I244"/>
    </row>
    <row r="245" spans="1:9" x14ac:dyDescent="0.25">
      <c r="A245"/>
      <c r="B245"/>
      <c r="C245"/>
      <c r="D245"/>
      <c r="E245"/>
      <c r="F245"/>
      <c r="G245"/>
      <c r="H245"/>
      <c r="I245"/>
    </row>
    <row r="246" spans="1:9" x14ac:dyDescent="0.25">
      <c r="A246"/>
      <c r="B246"/>
      <c r="C246"/>
      <c r="D246"/>
      <c r="E246"/>
      <c r="F246"/>
      <c r="G246"/>
      <c r="H246"/>
      <c r="I246"/>
    </row>
    <row r="247" spans="1:9" x14ac:dyDescent="0.25">
      <c r="A247"/>
      <c r="B247"/>
      <c r="C247"/>
      <c r="D247"/>
      <c r="E247"/>
      <c r="F247"/>
      <c r="G247"/>
      <c r="H247"/>
      <c r="I247"/>
    </row>
    <row r="248" spans="1:9" x14ac:dyDescent="0.25">
      <c r="A248"/>
      <c r="B248"/>
      <c r="C248"/>
      <c r="D248"/>
      <c r="E248"/>
      <c r="F248"/>
      <c r="G248"/>
      <c r="H248"/>
      <c r="I248"/>
    </row>
    <row r="249" spans="1:9" x14ac:dyDescent="0.25">
      <c r="A249"/>
      <c r="B249"/>
      <c r="C249"/>
      <c r="D249"/>
      <c r="E249"/>
      <c r="F249"/>
      <c r="G249"/>
      <c r="H249"/>
      <c r="I249"/>
    </row>
    <row r="250" spans="1:9" x14ac:dyDescent="0.25">
      <c r="A250"/>
      <c r="B250"/>
      <c r="C250"/>
      <c r="D250"/>
      <c r="E250"/>
      <c r="F250"/>
      <c r="G250"/>
      <c r="H250"/>
      <c r="I250"/>
    </row>
    <row r="251" spans="1:9" x14ac:dyDescent="0.25">
      <c r="A251"/>
      <c r="B251"/>
      <c r="C251"/>
      <c r="D251"/>
      <c r="E251"/>
      <c r="F251"/>
      <c r="G251"/>
      <c r="H251"/>
      <c r="I251"/>
    </row>
    <row r="252" spans="1:9" x14ac:dyDescent="0.25">
      <c r="A252"/>
      <c r="B252"/>
      <c r="C252"/>
      <c r="D252"/>
      <c r="E252"/>
      <c r="F252"/>
      <c r="G252"/>
      <c r="H252"/>
      <c r="I252"/>
    </row>
    <row r="253" spans="1:9" x14ac:dyDescent="0.25">
      <c r="A253"/>
      <c r="B253"/>
      <c r="C253"/>
      <c r="D253"/>
      <c r="E253"/>
      <c r="F253"/>
      <c r="G253"/>
      <c r="H253"/>
      <c r="I253"/>
    </row>
    <row r="254" spans="1:9" x14ac:dyDescent="0.25">
      <c r="A254"/>
      <c r="B254"/>
      <c r="C254"/>
      <c r="D254"/>
      <c r="E254"/>
      <c r="F254"/>
      <c r="G254"/>
      <c r="H254"/>
      <c r="I254"/>
    </row>
    <row r="255" spans="1:9" x14ac:dyDescent="0.25">
      <c r="A255"/>
      <c r="B255"/>
      <c r="C255"/>
      <c r="D255"/>
      <c r="E255"/>
      <c r="F255"/>
      <c r="G255"/>
      <c r="H255"/>
      <c r="I255"/>
    </row>
    <row r="256" spans="1:9" x14ac:dyDescent="0.25">
      <c r="A256"/>
      <c r="B256"/>
      <c r="C256"/>
      <c r="D256"/>
      <c r="E256"/>
      <c r="F256"/>
      <c r="G256"/>
      <c r="H256"/>
      <c r="I256"/>
    </row>
    <row r="257" spans="1:9" x14ac:dyDescent="0.25">
      <c r="A257"/>
      <c r="B257"/>
      <c r="C257"/>
      <c r="D257"/>
      <c r="E257"/>
      <c r="F257"/>
      <c r="G257"/>
      <c r="H257"/>
      <c r="I257"/>
    </row>
    <row r="258" spans="1:9" x14ac:dyDescent="0.25">
      <c r="A258"/>
      <c r="B258"/>
      <c r="C258"/>
      <c r="D258"/>
      <c r="E258"/>
      <c r="F258"/>
      <c r="G258"/>
      <c r="H258"/>
      <c r="I258"/>
    </row>
    <row r="259" spans="1:9" x14ac:dyDescent="0.25">
      <c r="A259"/>
      <c r="B259"/>
      <c r="C259"/>
      <c r="D259"/>
      <c r="E259"/>
      <c r="F259"/>
      <c r="G259"/>
      <c r="H259"/>
      <c r="I259"/>
    </row>
    <row r="260" spans="1:9" x14ac:dyDescent="0.25">
      <c r="A260"/>
      <c r="B260"/>
      <c r="C260"/>
      <c r="D260"/>
      <c r="E260"/>
      <c r="F260"/>
      <c r="G260"/>
      <c r="H260"/>
      <c r="I260"/>
    </row>
    <row r="261" spans="1:9" x14ac:dyDescent="0.25">
      <c r="A261"/>
      <c r="B261"/>
      <c r="C261"/>
      <c r="D261"/>
      <c r="E261"/>
      <c r="F261"/>
      <c r="G261"/>
      <c r="H261"/>
      <c r="I261"/>
    </row>
    <row r="262" spans="1:9" x14ac:dyDescent="0.25">
      <c r="A262"/>
      <c r="B262"/>
      <c r="C262"/>
      <c r="D262"/>
      <c r="E262"/>
      <c r="F262"/>
      <c r="G262"/>
      <c r="H262"/>
      <c r="I262"/>
    </row>
    <row r="263" spans="1:9" x14ac:dyDescent="0.25">
      <c r="A263"/>
      <c r="B263"/>
      <c r="C263"/>
      <c r="D263"/>
      <c r="E263"/>
      <c r="F263"/>
      <c r="G263"/>
      <c r="H263"/>
      <c r="I263"/>
    </row>
    <row r="264" spans="1:9" x14ac:dyDescent="0.25">
      <c r="A264"/>
      <c r="B264"/>
      <c r="C264"/>
      <c r="D264"/>
      <c r="E264"/>
      <c r="F264"/>
      <c r="G264"/>
      <c r="H264"/>
      <c r="I264"/>
    </row>
    <row r="265" spans="1:9" x14ac:dyDescent="0.25">
      <c r="A265"/>
      <c r="B265"/>
      <c r="C265"/>
      <c r="D265"/>
      <c r="E265"/>
      <c r="F265"/>
      <c r="G265"/>
      <c r="H265"/>
      <c r="I265"/>
    </row>
    <row r="266" spans="1:9" x14ac:dyDescent="0.25">
      <c r="A266"/>
      <c r="B266"/>
      <c r="C266"/>
      <c r="D266"/>
      <c r="E266"/>
      <c r="F266"/>
      <c r="G266"/>
      <c r="H266"/>
      <c r="I266"/>
    </row>
    <row r="267" spans="1:9" x14ac:dyDescent="0.25">
      <c r="A267"/>
      <c r="B267"/>
      <c r="C267"/>
      <c r="D267"/>
      <c r="E267"/>
      <c r="F267"/>
      <c r="G267"/>
      <c r="H267"/>
      <c r="I267"/>
    </row>
    <row r="268" spans="1:9" x14ac:dyDescent="0.25">
      <c r="A268"/>
      <c r="B268"/>
      <c r="C268"/>
      <c r="D268"/>
      <c r="E268"/>
      <c r="F268"/>
      <c r="G268"/>
      <c r="H268"/>
      <c r="I268"/>
    </row>
    <row r="269" spans="1:9" x14ac:dyDescent="0.25">
      <c r="A269"/>
      <c r="B269"/>
      <c r="C269"/>
      <c r="D269"/>
      <c r="E269"/>
      <c r="F269"/>
      <c r="G269"/>
      <c r="H269"/>
      <c r="I269"/>
    </row>
    <row r="270" spans="1:9" x14ac:dyDescent="0.25">
      <c r="A270"/>
      <c r="B270"/>
      <c r="C270"/>
      <c r="D270"/>
      <c r="E270"/>
      <c r="F270"/>
      <c r="G270"/>
      <c r="H270"/>
      <c r="I270"/>
    </row>
    <row r="271" spans="1:9" x14ac:dyDescent="0.25">
      <c r="A271"/>
      <c r="B271"/>
      <c r="C271"/>
      <c r="D271"/>
      <c r="E271"/>
      <c r="F271"/>
      <c r="G271"/>
      <c r="H271"/>
      <c r="I271"/>
    </row>
    <row r="272" spans="1:9" x14ac:dyDescent="0.25">
      <c r="A272"/>
      <c r="B272"/>
      <c r="C272"/>
      <c r="D272"/>
      <c r="E272"/>
      <c r="F272"/>
      <c r="G272"/>
      <c r="H272"/>
      <c r="I272"/>
    </row>
    <row r="273" spans="1:9" x14ac:dyDescent="0.25">
      <c r="A273"/>
      <c r="B273"/>
      <c r="C273"/>
      <c r="D273"/>
      <c r="E273"/>
      <c r="F273"/>
      <c r="G273"/>
      <c r="H273"/>
      <c r="I273"/>
    </row>
    <row r="274" spans="1:9" x14ac:dyDescent="0.25">
      <c r="A274"/>
      <c r="B274"/>
      <c r="C274"/>
      <c r="D274"/>
      <c r="E274"/>
      <c r="F274"/>
      <c r="G274"/>
      <c r="H274"/>
      <c r="I274"/>
    </row>
    <row r="275" spans="1:9" x14ac:dyDescent="0.25">
      <c r="A275"/>
      <c r="B275"/>
      <c r="C275"/>
      <c r="D275"/>
      <c r="E275"/>
      <c r="F275"/>
      <c r="G275"/>
      <c r="H275"/>
      <c r="I275"/>
    </row>
    <row r="276" spans="1:9" x14ac:dyDescent="0.25">
      <c r="A276"/>
      <c r="B276"/>
      <c r="C276"/>
      <c r="D276"/>
      <c r="E276"/>
      <c r="F276"/>
      <c r="G276"/>
      <c r="H276"/>
      <c r="I276"/>
    </row>
    <row r="277" spans="1:9" x14ac:dyDescent="0.25">
      <c r="A277"/>
      <c r="B277"/>
      <c r="C277"/>
      <c r="D277"/>
      <c r="E277"/>
      <c r="F277"/>
      <c r="G277"/>
      <c r="H277"/>
      <c r="I277"/>
    </row>
    <row r="278" spans="1:9" x14ac:dyDescent="0.25">
      <c r="A278"/>
      <c r="B278"/>
      <c r="C278"/>
      <c r="D278"/>
      <c r="E278"/>
      <c r="F278"/>
      <c r="G278"/>
      <c r="H278"/>
      <c r="I278"/>
    </row>
    <row r="279" spans="1:9" x14ac:dyDescent="0.25">
      <c r="A279"/>
      <c r="B279"/>
      <c r="C279"/>
      <c r="D279"/>
      <c r="E279"/>
      <c r="F279"/>
      <c r="G279"/>
      <c r="H279"/>
      <c r="I279"/>
    </row>
    <row r="280" spans="1:9" x14ac:dyDescent="0.25">
      <c r="A280"/>
      <c r="B280"/>
      <c r="C280"/>
      <c r="D280"/>
      <c r="E280"/>
      <c r="F280"/>
      <c r="G280"/>
      <c r="H280"/>
      <c r="I280"/>
    </row>
    <row r="281" spans="1:9" x14ac:dyDescent="0.25">
      <c r="A281"/>
      <c r="B281"/>
      <c r="C281"/>
      <c r="D281"/>
      <c r="E281"/>
      <c r="F281"/>
      <c r="G281"/>
      <c r="H281"/>
      <c r="I281"/>
    </row>
    <row r="282" spans="1:9" x14ac:dyDescent="0.25">
      <c r="A282"/>
      <c r="B282"/>
      <c r="C282"/>
      <c r="D282"/>
      <c r="E282"/>
      <c r="F282"/>
      <c r="G282"/>
      <c r="H282"/>
      <c r="I282"/>
    </row>
    <row r="283" spans="1:9" x14ac:dyDescent="0.25">
      <c r="A283"/>
      <c r="B283"/>
      <c r="C283"/>
      <c r="D283"/>
      <c r="E283"/>
      <c r="F283"/>
      <c r="G283"/>
      <c r="H283"/>
      <c r="I283"/>
    </row>
    <row r="284" spans="1:9" x14ac:dyDescent="0.25">
      <c r="A284"/>
      <c r="B284"/>
      <c r="C284"/>
      <c r="D284"/>
      <c r="E284"/>
      <c r="F284"/>
      <c r="G284"/>
      <c r="H284"/>
      <c r="I284"/>
    </row>
    <row r="285" spans="1:9" x14ac:dyDescent="0.25">
      <c r="A285"/>
      <c r="B285"/>
      <c r="C285"/>
      <c r="D285"/>
      <c r="E285"/>
      <c r="F285"/>
      <c r="G285"/>
      <c r="H285"/>
      <c r="I285"/>
    </row>
    <row r="286" spans="1:9" x14ac:dyDescent="0.25">
      <c r="A286"/>
      <c r="B286"/>
      <c r="C286"/>
      <c r="D286"/>
      <c r="E286"/>
      <c r="F286"/>
      <c r="G286"/>
      <c r="H286"/>
      <c r="I286"/>
    </row>
    <row r="287" spans="1:9" x14ac:dyDescent="0.25">
      <c r="A287"/>
      <c r="B287"/>
      <c r="C287"/>
      <c r="D287"/>
      <c r="E287"/>
      <c r="F287"/>
      <c r="G287"/>
      <c r="H287"/>
      <c r="I287"/>
    </row>
    <row r="288" spans="1:9" x14ac:dyDescent="0.25">
      <c r="A288"/>
      <c r="B288"/>
      <c r="C288"/>
      <c r="D288"/>
      <c r="E288"/>
      <c r="F288"/>
      <c r="G288"/>
      <c r="H288"/>
      <c r="I288"/>
    </row>
    <row r="289" spans="1:9" x14ac:dyDescent="0.25">
      <c r="A289"/>
      <c r="B289"/>
      <c r="C289"/>
      <c r="D289"/>
      <c r="E289"/>
      <c r="F289"/>
      <c r="G289"/>
      <c r="H289"/>
      <c r="I289"/>
    </row>
    <row r="290" spans="1:9" x14ac:dyDescent="0.25">
      <c r="A290"/>
      <c r="B290"/>
      <c r="C290"/>
      <c r="D290"/>
      <c r="E290"/>
      <c r="F290"/>
      <c r="G290"/>
      <c r="H290"/>
      <c r="I290"/>
    </row>
    <row r="291" spans="1:9" x14ac:dyDescent="0.25">
      <c r="A291"/>
      <c r="B291"/>
      <c r="C291"/>
      <c r="D291"/>
      <c r="E291"/>
      <c r="F291"/>
      <c r="G291"/>
      <c r="H291"/>
      <c r="I291"/>
    </row>
    <row r="292" spans="1:9" x14ac:dyDescent="0.25">
      <c r="A292"/>
      <c r="B292"/>
      <c r="C292"/>
      <c r="D292"/>
      <c r="E292"/>
      <c r="F292"/>
      <c r="G292"/>
      <c r="H292"/>
      <c r="I292"/>
    </row>
    <row r="293" spans="1:9" x14ac:dyDescent="0.25">
      <c r="A293"/>
      <c r="B293"/>
      <c r="C293"/>
      <c r="D293"/>
      <c r="E293"/>
      <c r="F293"/>
      <c r="G293"/>
      <c r="H293"/>
      <c r="I293"/>
    </row>
    <row r="294" spans="1:9" x14ac:dyDescent="0.25">
      <c r="A294"/>
      <c r="B294"/>
      <c r="C294"/>
      <c r="D294"/>
      <c r="E294"/>
      <c r="F294"/>
      <c r="G294"/>
      <c r="H294"/>
      <c r="I294"/>
    </row>
    <row r="295" spans="1:9" x14ac:dyDescent="0.25">
      <c r="A295"/>
      <c r="B295"/>
      <c r="C295"/>
      <c r="D295"/>
      <c r="E295"/>
      <c r="F295"/>
      <c r="G295"/>
      <c r="H295"/>
      <c r="I295"/>
    </row>
    <row r="296" spans="1:9" x14ac:dyDescent="0.25">
      <c r="A296"/>
      <c r="B296"/>
      <c r="C296"/>
      <c r="D296"/>
      <c r="E296"/>
      <c r="F296"/>
      <c r="G296"/>
      <c r="H296"/>
      <c r="I296"/>
    </row>
    <row r="297" spans="1:9" x14ac:dyDescent="0.25">
      <c r="A297"/>
      <c r="B297"/>
      <c r="C297"/>
      <c r="D297"/>
      <c r="E297"/>
      <c r="F297"/>
      <c r="G297"/>
      <c r="H297"/>
      <c r="I297"/>
    </row>
    <row r="298" spans="1:9" x14ac:dyDescent="0.25">
      <c r="A298"/>
      <c r="B298"/>
      <c r="C298"/>
      <c r="D298"/>
      <c r="E298"/>
      <c r="F298"/>
      <c r="G298"/>
      <c r="H298"/>
      <c r="I298"/>
    </row>
    <row r="299" spans="1:9" x14ac:dyDescent="0.25">
      <c r="A299"/>
      <c r="B299"/>
      <c r="C299"/>
      <c r="D299"/>
      <c r="E299"/>
      <c r="F299"/>
      <c r="G299"/>
      <c r="H299"/>
      <c r="I299"/>
    </row>
    <row r="300" spans="1:9" x14ac:dyDescent="0.25">
      <c r="A300"/>
      <c r="B300"/>
      <c r="C300"/>
      <c r="D300"/>
      <c r="E300"/>
      <c r="F300"/>
      <c r="G300"/>
      <c r="H300"/>
      <c r="I300"/>
    </row>
    <row r="301" spans="1:9" x14ac:dyDescent="0.25">
      <c r="A301"/>
      <c r="B301"/>
      <c r="C301"/>
      <c r="D301"/>
      <c r="E301"/>
      <c r="F301"/>
      <c r="G301"/>
      <c r="H301"/>
      <c r="I301"/>
    </row>
    <row r="302" spans="1:9" x14ac:dyDescent="0.25">
      <c r="A302"/>
      <c r="B302"/>
      <c r="C302"/>
      <c r="D302"/>
      <c r="E302"/>
      <c r="F302"/>
      <c r="G302"/>
      <c r="H302"/>
      <c r="I302"/>
    </row>
    <row r="303" spans="1:9" x14ac:dyDescent="0.25">
      <c r="A303"/>
      <c r="B303"/>
      <c r="C303"/>
      <c r="D303"/>
      <c r="E303"/>
      <c r="F303"/>
      <c r="G303"/>
      <c r="H303"/>
      <c r="I303"/>
    </row>
    <row r="304" spans="1:9" x14ac:dyDescent="0.25">
      <c r="A304" s="7"/>
      <c r="B304" s="8"/>
      <c r="C304" s="14"/>
      <c r="D304" s="14"/>
      <c r="E304" s="14"/>
      <c r="F304" s="14"/>
      <c r="G304" s="14"/>
    </row>
    <row r="305" spans="1:7" x14ac:dyDescent="0.25">
      <c r="A305" s="7"/>
      <c r="B305" s="8"/>
      <c r="C305" s="14"/>
      <c r="D305" s="14"/>
      <c r="E305" s="14"/>
      <c r="F305" s="14"/>
      <c r="G305" s="14"/>
    </row>
    <row r="306" spans="1:7" x14ac:dyDescent="0.25">
      <c r="A306" s="7"/>
      <c r="B306" s="8"/>
      <c r="C306" s="14"/>
      <c r="D306" s="14"/>
      <c r="E306" s="14"/>
      <c r="F306" s="14"/>
      <c r="G306" s="14"/>
    </row>
    <row r="307" spans="1:7" x14ac:dyDescent="0.25">
      <c r="A307" s="7"/>
      <c r="B307" s="8"/>
      <c r="C307" s="14"/>
      <c r="D307" s="14"/>
      <c r="E307" s="14"/>
      <c r="F307" s="14"/>
      <c r="G307" s="14"/>
    </row>
    <row r="308" spans="1:7" x14ac:dyDescent="0.25">
      <c r="A308" s="7"/>
      <c r="B308" s="8"/>
      <c r="C308" s="14"/>
      <c r="D308" s="14"/>
      <c r="E308" s="14"/>
      <c r="F308" s="14"/>
      <c r="G308" s="14"/>
    </row>
    <row r="309" spans="1:7" x14ac:dyDescent="0.25">
      <c r="A309" s="7"/>
      <c r="B309" s="8"/>
      <c r="C309" s="14"/>
      <c r="D309" s="14"/>
      <c r="E309" s="14"/>
      <c r="F309" s="14"/>
      <c r="G309" s="14"/>
    </row>
    <row r="310" spans="1:7" x14ac:dyDescent="0.25">
      <c r="A310" s="7"/>
      <c r="B310" s="8"/>
      <c r="C310" s="14"/>
      <c r="D310" s="14"/>
      <c r="E310" s="14"/>
      <c r="F310" s="14"/>
      <c r="G310" s="14"/>
    </row>
    <row r="311" spans="1:7" x14ac:dyDescent="0.25">
      <c r="A311" s="7"/>
      <c r="B311" s="8"/>
      <c r="C311" s="14"/>
      <c r="D311" s="14"/>
      <c r="E311" s="14"/>
      <c r="F311" s="14"/>
      <c r="G311" s="14"/>
    </row>
    <row r="312" spans="1:7" x14ac:dyDescent="0.25">
      <c r="A312" s="7"/>
      <c r="B312" s="8"/>
      <c r="C312" s="14"/>
      <c r="D312" s="14"/>
      <c r="E312" s="14"/>
      <c r="F312" s="14"/>
      <c r="G312" s="14"/>
    </row>
    <row r="313" spans="1:7" x14ac:dyDescent="0.25">
      <c r="A313" s="7"/>
      <c r="B313" s="8"/>
      <c r="C313" s="14"/>
      <c r="D313" s="14"/>
      <c r="E313" s="14"/>
      <c r="F313" s="14"/>
      <c r="G313" s="14"/>
    </row>
    <row r="314" spans="1:7" x14ac:dyDescent="0.25">
      <c r="A314" s="7"/>
      <c r="B314" s="8"/>
      <c r="C314" s="14"/>
      <c r="D314" s="14"/>
      <c r="E314" s="14"/>
      <c r="F314" s="14"/>
      <c r="G314" s="14"/>
    </row>
    <row r="315" spans="1:7" x14ac:dyDescent="0.25">
      <c r="A315" s="7"/>
      <c r="B315" s="8"/>
      <c r="C315" s="14"/>
      <c r="D315" s="14"/>
      <c r="E315" s="14"/>
      <c r="F315" s="14"/>
      <c r="G315" s="14"/>
    </row>
    <row r="316" spans="1:7" x14ac:dyDescent="0.25">
      <c r="A316" s="7"/>
      <c r="B316" s="8"/>
      <c r="C316" s="14"/>
      <c r="D316" s="14"/>
      <c r="E316" s="14"/>
      <c r="F316" s="14"/>
      <c r="G316" s="14"/>
    </row>
    <row r="317" spans="1:7" x14ac:dyDescent="0.25">
      <c r="A317" s="7"/>
      <c r="B317" s="8"/>
      <c r="C317" s="14"/>
      <c r="D317" s="14"/>
      <c r="E317" s="14"/>
      <c r="F317" s="14"/>
      <c r="G317" s="14"/>
    </row>
    <row r="318" spans="1:7" x14ac:dyDescent="0.25">
      <c r="A318" s="7"/>
      <c r="B318" s="8"/>
      <c r="C318" s="14"/>
      <c r="D318" s="14"/>
      <c r="E318" s="14"/>
      <c r="F318" s="14"/>
      <c r="G318" s="14"/>
    </row>
    <row r="319" spans="1:7" x14ac:dyDescent="0.25">
      <c r="A319" s="7"/>
      <c r="B319" s="8"/>
      <c r="C319" s="14"/>
      <c r="D319" s="14"/>
      <c r="E319" s="14"/>
      <c r="F319" s="14"/>
      <c r="G319" s="14"/>
    </row>
    <row r="320" spans="1:7" x14ac:dyDescent="0.25">
      <c r="A320" s="7"/>
      <c r="B320" s="8"/>
      <c r="C320" s="14"/>
      <c r="D320" s="14"/>
      <c r="E320" s="14"/>
      <c r="F320" s="14"/>
      <c r="G320" s="14"/>
    </row>
    <row r="321" spans="1:7" x14ac:dyDescent="0.25">
      <c r="A321" s="7"/>
      <c r="B321" s="8"/>
      <c r="C321" s="14"/>
      <c r="D321" s="14"/>
      <c r="E321" s="14"/>
      <c r="F321" s="14"/>
      <c r="G321" s="14"/>
    </row>
    <row r="322" spans="1:7" x14ac:dyDescent="0.25">
      <c r="A322" s="7"/>
      <c r="B322" s="8"/>
      <c r="C322" s="14"/>
      <c r="D322" s="14"/>
      <c r="E322" s="14"/>
      <c r="F322" s="14"/>
      <c r="G322" s="14"/>
    </row>
    <row r="323" spans="1:7" x14ac:dyDescent="0.25">
      <c r="A323" s="7"/>
      <c r="B323" s="8"/>
      <c r="C323" s="14"/>
      <c r="D323" s="14"/>
      <c r="E323" s="14"/>
      <c r="F323" s="14"/>
      <c r="G323" s="14"/>
    </row>
    <row r="324" spans="1:7" x14ac:dyDescent="0.25">
      <c r="A324" s="7"/>
      <c r="B324" s="8"/>
      <c r="C324" s="14"/>
      <c r="D324" s="14"/>
      <c r="E324" s="14"/>
      <c r="F324" s="14"/>
      <c r="G324" s="14"/>
    </row>
    <row r="325" spans="1:7" x14ac:dyDescent="0.25">
      <c r="A325" s="7"/>
      <c r="B325" s="8"/>
      <c r="C325" s="14"/>
      <c r="D325" s="14"/>
      <c r="E325" s="14"/>
      <c r="F325" s="14"/>
      <c r="G325" s="14"/>
    </row>
    <row r="326" spans="1:7" x14ac:dyDescent="0.25">
      <c r="A326" s="7"/>
      <c r="B326" s="8"/>
      <c r="C326" s="14"/>
      <c r="D326" s="14"/>
      <c r="E326" s="14"/>
      <c r="F326" s="14"/>
      <c r="G326" s="14"/>
    </row>
    <row r="327" spans="1:7" x14ac:dyDescent="0.25">
      <c r="A327" s="7"/>
      <c r="B327" s="8"/>
      <c r="C327" s="14"/>
      <c r="D327" s="14"/>
      <c r="E327" s="14"/>
      <c r="F327" s="14"/>
      <c r="G327" s="14"/>
    </row>
    <row r="328" spans="1:7" x14ac:dyDescent="0.25">
      <c r="A328" s="7"/>
      <c r="B328" s="8"/>
      <c r="C328" s="14"/>
      <c r="D328" s="14"/>
      <c r="E328" s="14"/>
      <c r="F328" s="14"/>
      <c r="G328" s="14"/>
    </row>
    <row r="329" spans="1:7" x14ac:dyDescent="0.25">
      <c r="A329" s="7"/>
      <c r="B329" s="8"/>
      <c r="C329" s="14"/>
      <c r="D329" s="14"/>
      <c r="E329" s="14"/>
      <c r="F329" s="14"/>
      <c r="G329" s="14"/>
    </row>
    <row r="330" spans="1:7" x14ac:dyDescent="0.25">
      <c r="A330" s="7"/>
      <c r="B330" s="8"/>
      <c r="C330" s="14"/>
      <c r="D330" s="14"/>
      <c r="E330" s="14"/>
      <c r="F330" s="14"/>
      <c r="G330" s="14"/>
    </row>
    <row r="331" spans="1:7" x14ac:dyDescent="0.25">
      <c r="A331" s="7"/>
      <c r="B331" s="8"/>
      <c r="C331" s="14"/>
      <c r="D331" s="14"/>
      <c r="E331" s="14"/>
      <c r="F331" s="14"/>
      <c r="G331" s="14"/>
    </row>
    <row r="332" spans="1:7" x14ac:dyDescent="0.25">
      <c r="A332" s="7"/>
      <c r="B332" s="8"/>
      <c r="C332" s="14"/>
      <c r="D332" s="14"/>
      <c r="E332" s="14"/>
      <c r="F332" s="14"/>
      <c r="G332" s="14"/>
    </row>
    <row r="333" spans="1:7" x14ac:dyDescent="0.25">
      <c r="A333" s="7"/>
      <c r="B333" s="8"/>
      <c r="C333" s="14"/>
      <c r="D333" s="14"/>
      <c r="E333" s="14"/>
      <c r="F333" s="14"/>
      <c r="G333" s="14"/>
    </row>
    <row r="334" spans="1:7" x14ac:dyDescent="0.25">
      <c r="A334" s="7"/>
      <c r="B334" s="8"/>
      <c r="C334" s="14"/>
      <c r="D334" s="14"/>
      <c r="E334" s="14"/>
      <c r="F334" s="14"/>
      <c r="G334" s="14"/>
    </row>
    <row r="335" spans="1:7" x14ac:dyDescent="0.25">
      <c r="A335" s="7"/>
      <c r="B335" s="8"/>
      <c r="C335" s="14"/>
      <c r="D335" s="14"/>
      <c r="E335" s="14"/>
      <c r="F335" s="14"/>
      <c r="G335" s="14"/>
    </row>
    <row r="336" spans="1:7" x14ac:dyDescent="0.25">
      <c r="A336" s="7"/>
      <c r="B336" s="8"/>
      <c r="C336" s="14"/>
      <c r="D336" s="14"/>
      <c r="E336" s="14"/>
      <c r="F336" s="14"/>
      <c r="G336" s="14"/>
    </row>
    <row r="337" spans="1:7" x14ac:dyDescent="0.25">
      <c r="A337" s="7"/>
      <c r="B337" s="8"/>
      <c r="C337" s="14"/>
      <c r="D337" s="14"/>
      <c r="E337" s="14"/>
      <c r="F337" s="14"/>
      <c r="G337" s="14"/>
    </row>
    <row r="338" spans="1:7" x14ac:dyDescent="0.25">
      <c r="A338" s="7"/>
      <c r="B338" s="8"/>
      <c r="C338" s="14"/>
      <c r="D338" s="14"/>
      <c r="E338" s="14"/>
      <c r="F338" s="14"/>
      <c r="G338" s="14"/>
    </row>
    <row r="339" spans="1:7" x14ac:dyDescent="0.25">
      <c r="A339" s="7"/>
      <c r="B339" s="8"/>
      <c r="C339" s="14"/>
      <c r="D339" s="14"/>
      <c r="E339" s="14"/>
      <c r="F339" s="14"/>
      <c r="G339" s="14"/>
    </row>
    <row r="340" spans="1:7" x14ac:dyDescent="0.25">
      <c r="A340" s="7"/>
      <c r="B340" s="8"/>
      <c r="C340" s="14"/>
      <c r="D340" s="14"/>
      <c r="E340" s="14"/>
      <c r="F340" s="14"/>
      <c r="G340" s="14"/>
    </row>
    <row r="341" spans="1:7" x14ac:dyDescent="0.25">
      <c r="A341" s="7"/>
      <c r="B341" s="8"/>
      <c r="C341" s="14"/>
      <c r="D341" s="14"/>
      <c r="E341" s="14"/>
      <c r="F341" s="14"/>
      <c r="G341" s="14"/>
    </row>
    <row r="342" spans="1:7" x14ac:dyDescent="0.25">
      <c r="A342" s="7"/>
      <c r="B342" s="8"/>
      <c r="C342" s="14"/>
      <c r="D342" s="14"/>
      <c r="E342" s="14"/>
      <c r="F342" s="14"/>
      <c r="G342" s="14"/>
    </row>
    <row r="343" spans="1:7" x14ac:dyDescent="0.25">
      <c r="A343" s="7"/>
      <c r="B343" s="8"/>
      <c r="C343" s="14"/>
      <c r="D343" s="14"/>
      <c r="E343" s="14"/>
      <c r="F343" s="14"/>
      <c r="G343" s="14"/>
    </row>
    <row r="344" spans="1:7" x14ac:dyDescent="0.25">
      <c r="A344" s="7"/>
      <c r="B344" s="8"/>
      <c r="C344" s="14"/>
      <c r="D344" s="14"/>
      <c r="E344" s="14"/>
      <c r="F344" s="14"/>
      <c r="G344" s="14"/>
    </row>
    <row r="345" spans="1:7" x14ac:dyDescent="0.25">
      <c r="A345" s="7"/>
      <c r="B345" s="8"/>
      <c r="C345" s="14"/>
      <c r="D345" s="14"/>
      <c r="E345" s="14"/>
      <c r="F345" s="14"/>
      <c r="G345" s="14"/>
    </row>
    <row r="346" spans="1:7" x14ac:dyDescent="0.25">
      <c r="A346" s="7"/>
      <c r="B346" s="8"/>
      <c r="C346" s="14"/>
      <c r="D346" s="14"/>
      <c r="E346" s="14"/>
      <c r="F346" s="14"/>
      <c r="G346" s="14"/>
    </row>
    <row r="347" spans="1:7" x14ac:dyDescent="0.25">
      <c r="A347" s="7"/>
      <c r="B347" s="8"/>
      <c r="C347" s="14"/>
      <c r="D347" s="14"/>
      <c r="E347" s="14"/>
      <c r="F347" s="14"/>
      <c r="G347" s="14"/>
    </row>
    <row r="348" spans="1:7" x14ac:dyDescent="0.25">
      <c r="A348" s="7"/>
      <c r="B348" s="8"/>
      <c r="C348" s="14"/>
      <c r="D348" s="14"/>
      <c r="E348" s="14"/>
      <c r="F348" s="14"/>
      <c r="G348" s="14"/>
    </row>
    <row r="349" spans="1:7" x14ac:dyDescent="0.25">
      <c r="A349" s="7"/>
      <c r="B349" s="8"/>
      <c r="C349" s="14"/>
      <c r="D349" s="14"/>
      <c r="E349" s="14"/>
      <c r="F349" s="14"/>
      <c r="G349" s="14"/>
    </row>
    <row r="350" spans="1:7" x14ac:dyDescent="0.25">
      <c r="A350" s="7"/>
      <c r="B350" s="8"/>
      <c r="C350" s="14"/>
      <c r="D350" s="14"/>
      <c r="E350" s="14"/>
      <c r="F350" s="14"/>
      <c r="G350" s="14"/>
    </row>
    <row r="351" spans="1:7" x14ac:dyDescent="0.25">
      <c r="A351" s="7"/>
      <c r="B351" s="8"/>
      <c r="C351" s="14"/>
      <c r="D351" s="14"/>
      <c r="E351" s="14"/>
      <c r="F351" s="14"/>
      <c r="G351" s="14"/>
    </row>
    <row r="352" spans="1:7" x14ac:dyDescent="0.25">
      <c r="A352" s="7"/>
      <c r="B352" s="8"/>
      <c r="C352" s="14"/>
      <c r="D352" s="14"/>
      <c r="E352" s="14"/>
      <c r="F352" s="14"/>
      <c r="G352" s="14"/>
    </row>
    <row r="353" spans="1:7" x14ac:dyDescent="0.25">
      <c r="A353" s="7"/>
      <c r="B353" s="8"/>
      <c r="C353" s="14"/>
      <c r="D353" s="14"/>
      <c r="E353" s="14"/>
      <c r="F353" s="14"/>
      <c r="G353" s="14"/>
    </row>
    <row r="354" spans="1:7" x14ac:dyDescent="0.25">
      <c r="A354" s="7"/>
      <c r="B354" s="8"/>
      <c r="C354" s="14"/>
      <c r="D354" s="14"/>
      <c r="E354" s="14"/>
      <c r="F354" s="14"/>
      <c r="G354" s="14"/>
    </row>
    <row r="355" spans="1:7" x14ac:dyDescent="0.25">
      <c r="A355" s="7"/>
      <c r="B355" s="8"/>
      <c r="C355" s="14"/>
      <c r="D355" s="14"/>
      <c r="E355" s="14"/>
      <c r="F355" s="14"/>
      <c r="G355" s="14"/>
    </row>
    <row r="356" spans="1:7" x14ac:dyDescent="0.25">
      <c r="A356" s="7"/>
      <c r="B356" s="8"/>
      <c r="C356" s="14"/>
      <c r="D356" s="14"/>
      <c r="E356" s="14"/>
      <c r="F356" s="14"/>
      <c r="G356" s="14"/>
    </row>
    <row r="357" spans="1:7" x14ac:dyDescent="0.25">
      <c r="A357" s="7"/>
      <c r="B357" s="8"/>
      <c r="C357" s="14"/>
      <c r="D357" s="14"/>
      <c r="E357" s="14"/>
      <c r="F357" s="14"/>
      <c r="G357" s="14"/>
    </row>
    <row r="358" spans="1:7" x14ac:dyDescent="0.25">
      <c r="A358" s="7"/>
      <c r="B358" s="8"/>
      <c r="C358" s="14"/>
      <c r="D358" s="14"/>
      <c r="E358" s="14"/>
      <c r="F358" s="14"/>
      <c r="G358" s="14"/>
    </row>
    <row r="359" spans="1:7" x14ac:dyDescent="0.25">
      <c r="A359" s="7"/>
      <c r="B359" s="8"/>
      <c r="C359" s="14"/>
      <c r="D359" s="14"/>
      <c r="E359" s="14"/>
      <c r="F359" s="14"/>
      <c r="G359" s="14"/>
    </row>
    <row r="360" spans="1:7" x14ac:dyDescent="0.25">
      <c r="A360" s="7"/>
      <c r="B360" s="8"/>
      <c r="C360" s="14"/>
      <c r="D360" s="14"/>
      <c r="E360" s="14"/>
      <c r="F360" s="14"/>
      <c r="G360" s="14"/>
    </row>
    <row r="361" spans="1:7" x14ac:dyDescent="0.25">
      <c r="A361" s="7"/>
      <c r="B361" s="8"/>
      <c r="C361" s="14"/>
      <c r="D361" s="14"/>
      <c r="E361" s="14"/>
      <c r="F361" s="14"/>
      <c r="G361" s="14"/>
    </row>
    <row r="362" spans="1:7" x14ac:dyDescent="0.25">
      <c r="A362" s="7"/>
      <c r="B362" s="8"/>
      <c r="C362" s="14"/>
      <c r="D362" s="14"/>
      <c r="E362" s="14"/>
      <c r="F362" s="14"/>
      <c r="G362" s="14"/>
    </row>
    <row r="363" spans="1:7" x14ac:dyDescent="0.25">
      <c r="A363" s="7"/>
      <c r="B363" s="8"/>
      <c r="C363" s="14"/>
      <c r="D363" s="14"/>
      <c r="E363" s="14"/>
      <c r="F363" s="14"/>
      <c r="G363" s="14"/>
    </row>
    <row r="364" spans="1:7" x14ac:dyDescent="0.25">
      <c r="C364" s="15"/>
    </row>
    <row r="365" spans="1:7" x14ac:dyDescent="0.25">
      <c r="C365" s="15"/>
    </row>
    <row r="366" spans="1:7" x14ac:dyDescent="0.25">
      <c r="C366" s="15"/>
    </row>
    <row r="367" spans="1:7" x14ac:dyDescent="0.25">
      <c r="C367" s="15"/>
    </row>
    <row r="368" spans="1:7" x14ac:dyDescent="0.25">
      <c r="C368" s="15"/>
    </row>
    <row r="369" spans="3:3" x14ac:dyDescent="0.25">
      <c r="C369" s="15"/>
    </row>
    <row r="370" spans="3:3" x14ac:dyDescent="0.25">
      <c r="C370" s="15"/>
    </row>
    <row r="371" spans="3:3" x14ac:dyDescent="0.25">
      <c r="C371" s="15"/>
    </row>
    <row r="372" spans="3:3" x14ac:dyDescent="0.25">
      <c r="C372" s="15"/>
    </row>
    <row r="373" spans="3:3" x14ac:dyDescent="0.25">
      <c r="C373" s="15"/>
    </row>
    <row r="374" spans="3:3" x14ac:dyDescent="0.25">
      <c r="C374" s="15"/>
    </row>
    <row r="375" spans="3:3" x14ac:dyDescent="0.25">
      <c r="C375" s="15"/>
    </row>
    <row r="376" spans="3:3" x14ac:dyDescent="0.25">
      <c r="C376" s="15"/>
    </row>
    <row r="377" spans="3:3" x14ac:dyDescent="0.25">
      <c r="C377" s="15"/>
    </row>
    <row r="378" spans="3:3" x14ac:dyDescent="0.25">
      <c r="C378" s="15"/>
    </row>
    <row r="379" spans="3:3" x14ac:dyDescent="0.25">
      <c r="C379" s="15"/>
    </row>
    <row r="380" spans="3:3" x14ac:dyDescent="0.25">
      <c r="C380" s="15"/>
    </row>
    <row r="381" spans="3:3" x14ac:dyDescent="0.25">
      <c r="C381" s="15"/>
    </row>
    <row r="382" spans="3:3" x14ac:dyDescent="0.25">
      <c r="C382" s="15"/>
    </row>
    <row r="383" spans="3:3" x14ac:dyDescent="0.25">
      <c r="C383" s="15"/>
    </row>
    <row r="384" spans="3:3" x14ac:dyDescent="0.25">
      <c r="C384" s="15"/>
    </row>
    <row r="385" spans="3:3" x14ac:dyDescent="0.25">
      <c r="C385" s="15"/>
    </row>
    <row r="386" spans="3:3" x14ac:dyDescent="0.25">
      <c r="C386" s="15"/>
    </row>
    <row r="387" spans="3:3" x14ac:dyDescent="0.25">
      <c r="C387" s="15"/>
    </row>
    <row r="388" spans="3:3" x14ac:dyDescent="0.25">
      <c r="C388" s="15"/>
    </row>
    <row r="389" spans="3:3" x14ac:dyDescent="0.25">
      <c r="C389" s="15"/>
    </row>
    <row r="390" spans="3:3" x14ac:dyDescent="0.25">
      <c r="C390" s="15"/>
    </row>
    <row r="391" spans="3:3" x14ac:dyDescent="0.25">
      <c r="C391" s="15"/>
    </row>
    <row r="392" spans="3:3" x14ac:dyDescent="0.25">
      <c r="C392" s="15"/>
    </row>
    <row r="393" spans="3:3" x14ac:dyDescent="0.25">
      <c r="C393" s="15"/>
    </row>
    <row r="394" spans="3:3" x14ac:dyDescent="0.25">
      <c r="C394" s="15"/>
    </row>
    <row r="395" spans="3:3" x14ac:dyDescent="0.25">
      <c r="C395" s="15"/>
    </row>
    <row r="396" spans="3:3" x14ac:dyDescent="0.25">
      <c r="C396" s="15"/>
    </row>
    <row r="397" spans="3:3" x14ac:dyDescent="0.25">
      <c r="C397" s="15"/>
    </row>
    <row r="398" spans="3:3" x14ac:dyDescent="0.25">
      <c r="C398" s="15"/>
    </row>
    <row r="399" spans="3:3" x14ac:dyDescent="0.25">
      <c r="C399" s="15"/>
    </row>
    <row r="400" spans="3:3" x14ac:dyDescent="0.25">
      <c r="C400" s="15"/>
    </row>
    <row r="401" spans="3:3" x14ac:dyDescent="0.25">
      <c r="C401" s="15"/>
    </row>
    <row r="402" spans="3:3" x14ac:dyDescent="0.25">
      <c r="C402" s="15"/>
    </row>
    <row r="403" spans="3:3" x14ac:dyDescent="0.25">
      <c r="C403" s="15"/>
    </row>
    <row r="404" spans="3:3" x14ac:dyDescent="0.25">
      <c r="C404" s="15"/>
    </row>
    <row r="405" spans="3:3" x14ac:dyDescent="0.25">
      <c r="C405" s="15"/>
    </row>
    <row r="406" spans="3:3" x14ac:dyDescent="0.25">
      <c r="C406" s="15"/>
    </row>
    <row r="407" spans="3:3" x14ac:dyDescent="0.25">
      <c r="C407" s="15"/>
    </row>
    <row r="408" spans="3:3" x14ac:dyDescent="0.25">
      <c r="C408" s="15"/>
    </row>
    <row r="409" spans="3:3" x14ac:dyDescent="0.25">
      <c r="C409" s="15"/>
    </row>
    <row r="410" spans="3:3" x14ac:dyDescent="0.25">
      <c r="C410" s="15"/>
    </row>
    <row r="411" spans="3:3" x14ac:dyDescent="0.25">
      <c r="C411" s="15"/>
    </row>
    <row r="412" spans="3:3" x14ac:dyDescent="0.25">
      <c r="C412" s="15"/>
    </row>
    <row r="413" spans="3:3" x14ac:dyDescent="0.25">
      <c r="C413" s="15"/>
    </row>
    <row r="414" spans="3:3" x14ac:dyDescent="0.25">
      <c r="C414" s="15"/>
    </row>
    <row r="415" spans="3:3" x14ac:dyDescent="0.25">
      <c r="C415" s="15"/>
    </row>
    <row r="416" spans="3:3" x14ac:dyDescent="0.25">
      <c r="C416" s="15"/>
    </row>
    <row r="417" spans="3:3" x14ac:dyDescent="0.25">
      <c r="C417" s="15"/>
    </row>
    <row r="418" spans="3:3" x14ac:dyDescent="0.25">
      <c r="C418" s="15"/>
    </row>
    <row r="419" spans="3:3" x14ac:dyDescent="0.25">
      <c r="C419" s="15"/>
    </row>
    <row r="420" spans="3:3" x14ac:dyDescent="0.25">
      <c r="C420" s="15"/>
    </row>
    <row r="421" spans="3:3" x14ac:dyDescent="0.25">
      <c r="C421" s="15"/>
    </row>
    <row r="422" spans="3:3" x14ac:dyDescent="0.25">
      <c r="C422" s="15"/>
    </row>
    <row r="423" spans="3:3" x14ac:dyDescent="0.25">
      <c r="C423" s="15"/>
    </row>
    <row r="424" spans="3:3" x14ac:dyDescent="0.25">
      <c r="C424" s="15"/>
    </row>
    <row r="425" spans="3:3" x14ac:dyDescent="0.25">
      <c r="C425" s="15"/>
    </row>
    <row r="426" spans="3:3" x14ac:dyDescent="0.25">
      <c r="C426" s="15"/>
    </row>
    <row r="427" spans="3:3" x14ac:dyDescent="0.25">
      <c r="C427" s="15"/>
    </row>
    <row r="428" spans="3:3" x14ac:dyDescent="0.25">
      <c r="C428" s="15"/>
    </row>
    <row r="429" spans="3:3" x14ac:dyDescent="0.25">
      <c r="C429" s="15"/>
    </row>
    <row r="430" spans="3:3" x14ac:dyDescent="0.25">
      <c r="C430" s="15"/>
    </row>
    <row r="431" spans="3:3" x14ac:dyDescent="0.25">
      <c r="C431" s="15"/>
    </row>
    <row r="432" spans="3:3" x14ac:dyDescent="0.25">
      <c r="C432" s="15"/>
    </row>
    <row r="433" spans="3:3" x14ac:dyDescent="0.25">
      <c r="C433" s="15"/>
    </row>
    <row r="434" spans="3:3" x14ac:dyDescent="0.25">
      <c r="C434" s="15"/>
    </row>
    <row r="435" spans="3:3" x14ac:dyDescent="0.25">
      <c r="C435" s="15"/>
    </row>
    <row r="436" spans="3:3" x14ac:dyDescent="0.25">
      <c r="C436" s="15"/>
    </row>
    <row r="437" spans="3:3" x14ac:dyDescent="0.25">
      <c r="C437" s="15"/>
    </row>
    <row r="438" spans="3:3" x14ac:dyDescent="0.25">
      <c r="C438" s="15"/>
    </row>
    <row r="439" spans="3:3" x14ac:dyDescent="0.25">
      <c r="C439" s="15"/>
    </row>
    <row r="440" spans="3:3" x14ac:dyDescent="0.25">
      <c r="C440" s="15"/>
    </row>
    <row r="441" spans="3:3" x14ac:dyDescent="0.25">
      <c r="C441" s="15"/>
    </row>
    <row r="442" spans="3:3" x14ac:dyDescent="0.25">
      <c r="C442" s="15"/>
    </row>
    <row r="443" spans="3:3" x14ac:dyDescent="0.25">
      <c r="C443" s="15"/>
    </row>
    <row r="444" spans="3:3" x14ac:dyDescent="0.25">
      <c r="C444" s="15"/>
    </row>
    <row r="445" spans="3:3" x14ac:dyDescent="0.25">
      <c r="C445" s="15"/>
    </row>
    <row r="446" spans="3:3" x14ac:dyDescent="0.25">
      <c r="C446" s="15"/>
    </row>
    <row r="447" spans="3:3" x14ac:dyDescent="0.25">
      <c r="C447" s="15"/>
    </row>
    <row r="448" spans="3:3" x14ac:dyDescent="0.25">
      <c r="C448" s="15"/>
    </row>
    <row r="449" spans="3:3" x14ac:dyDescent="0.25">
      <c r="C449" s="15"/>
    </row>
    <row r="450" spans="3:3" x14ac:dyDescent="0.25">
      <c r="C450" s="15"/>
    </row>
    <row r="451" spans="3:3" x14ac:dyDescent="0.25">
      <c r="C451" s="15"/>
    </row>
    <row r="452" spans="3:3" x14ac:dyDescent="0.25">
      <c r="C452" s="15"/>
    </row>
    <row r="453" spans="3:3" x14ac:dyDescent="0.25">
      <c r="C453" s="15"/>
    </row>
    <row r="454" spans="3:3" x14ac:dyDescent="0.25">
      <c r="C454" s="15"/>
    </row>
    <row r="455" spans="3:3" x14ac:dyDescent="0.25">
      <c r="C455" s="15"/>
    </row>
    <row r="456" spans="3:3" x14ac:dyDescent="0.25">
      <c r="C456" s="15"/>
    </row>
    <row r="457" spans="3:3" x14ac:dyDescent="0.25">
      <c r="C457" s="15"/>
    </row>
    <row r="458" spans="3:3" x14ac:dyDescent="0.25">
      <c r="C458" s="15"/>
    </row>
    <row r="459" spans="3:3" x14ac:dyDescent="0.25">
      <c r="C459" s="15"/>
    </row>
    <row r="460" spans="3:3" x14ac:dyDescent="0.25">
      <c r="C460" s="15"/>
    </row>
    <row r="461" spans="3:3" x14ac:dyDescent="0.25">
      <c r="C461" s="15"/>
    </row>
    <row r="462" spans="3:3" x14ac:dyDescent="0.25">
      <c r="C462" s="15"/>
    </row>
    <row r="463" spans="3:3" x14ac:dyDescent="0.25">
      <c r="C463" s="15"/>
    </row>
    <row r="464" spans="3:3" x14ac:dyDescent="0.25">
      <c r="C464" s="15"/>
    </row>
    <row r="465" spans="3:3" x14ac:dyDescent="0.25">
      <c r="C465" s="15"/>
    </row>
    <row r="466" spans="3:3" x14ac:dyDescent="0.25">
      <c r="C466" s="15"/>
    </row>
    <row r="467" spans="3:3" x14ac:dyDescent="0.25">
      <c r="C467" s="15"/>
    </row>
    <row r="468" spans="3:3" x14ac:dyDescent="0.25">
      <c r="C468" s="15"/>
    </row>
    <row r="469" spans="3:3" x14ac:dyDescent="0.25">
      <c r="C469" s="15"/>
    </row>
    <row r="470" spans="3:3" x14ac:dyDescent="0.25">
      <c r="C470" s="15"/>
    </row>
    <row r="471" spans="3:3" x14ac:dyDescent="0.25">
      <c r="C471" s="15"/>
    </row>
    <row r="472" spans="3:3" x14ac:dyDescent="0.25">
      <c r="C472" s="15"/>
    </row>
    <row r="473" spans="3:3" x14ac:dyDescent="0.25">
      <c r="C473" s="15"/>
    </row>
    <row r="474" spans="3:3" x14ac:dyDescent="0.25">
      <c r="C474" s="15"/>
    </row>
    <row r="475" spans="3:3" x14ac:dyDescent="0.25">
      <c r="C475" s="15"/>
    </row>
    <row r="476" spans="3:3" x14ac:dyDescent="0.25">
      <c r="C476" s="15"/>
    </row>
    <row r="477" spans="3:3" x14ac:dyDescent="0.25">
      <c r="C477" s="15"/>
    </row>
    <row r="478" spans="3:3" x14ac:dyDescent="0.25">
      <c r="C478" s="15"/>
    </row>
    <row r="479" spans="3:3" x14ac:dyDescent="0.25">
      <c r="C479" s="15"/>
    </row>
    <row r="480" spans="3:3" x14ac:dyDescent="0.25">
      <c r="C480" s="15"/>
    </row>
    <row r="481" spans="3:3" x14ac:dyDescent="0.25">
      <c r="C481" s="15"/>
    </row>
    <row r="482" spans="3:3" x14ac:dyDescent="0.25">
      <c r="C482" s="15"/>
    </row>
    <row r="483" spans="3:3" x14ac:dyDescent="0.25">
      <c r="C483" s="15"/>
    </row>
    <row r="484" spans="3:3" x14ac:dyDescent="0.25">
      <c r="C484" s="15"/>
    </row>
    <row r="485" spans="3:3" x14ac:dyDescent="0.25">
      <c r="C485" s="15"/>
    </row>
    <row r="486" spans="3:3" x14ac:dyDescent="0.25">
      <c r="C486" s="15"/>
    </row>
    <row r="487" spans="3:3" x14ac:dyDescent="0.25">
      <c r="C487" s="15"/>
    </row>
    <row r="488" spans="3:3" x14ac:dyDescent="0.25">
      <c r="C488" s="15"/>
    </row>
    <row r="489" spans="3:3" x14ac:dyDescent="0.25">
      <c r="C489" s="15"/>
    </row>
    <row r="490" spans="3:3" x14ac:dyDescent="0.25">
      <c r="C490" s="15"/>
    </row>
    <row r="491" spans="3:3" x14ac:dyDescent="0.25">
      <c r="C491" s="15"/>
    </row>
    <row r="492" spans="3:3" x14ac:dyDescent="0.25">
      <c r="C492" s="15"/>
    </row>
    <row r="493" spans="3:3" x14ac:dyDescent="0.25">
      <c r="C493" s="15"/>
    </row>
    <row r="494" spans="3:3" x14ac:dyDescent="0.25">
      <c r="C494" s="15"/>
    </row>
    <row r="495" spans="3:3" x14ac:dyDescent="0.25">
      <c r="C495" s="15"/>
    </row>
    <row r="496" spans="3:3" x14ac:dyDescent="0.25">
      <c r="C496" s="15"/>
    </row>
    <row r="497" spans="3:3" x14ac:dyDescent="0.25">
      <c r="C497" s="15"/>
    </row>
    <row r="498" spans="3:3" x14ac:dyDescent="0.25">
      <c r="C498" s="15"/>
    </row>
    <row r="499" spans="3:3" x14ac:dyDescent="0.25">
      <c r="C499" s="15"/>
    </row>
    <row r="500" spans="3:3" x14ac:dyDescent="0.25">
      <c r="C500" s="15"/>
    </row>
    <row r="501" spans="3:3" x14ac:dyDescent="0.25">
      <c r="C501" s="15"/>
    </row>
    <row r="502" spans="3:3" x14ac:dyDescent="0.25">
      <c r="C502" s="15"/>
    </row>
    <row r="503" spans="3:3" x14ac:dyDescent="0.25">
      <c r="C503" s="15"/>
    </row>
    <row r="504" spans="3:3" x14ac:dyDescent="0.25">
      <c r="C504" s="15"/>
    </row>
    <row r="505" spans="3:3" x14ac:dyDescent="0.25">
      <c r="C505" s="15"/>
    </row>
    <row r="506" spans="3:3" x14ac:dyDescent="0.25">
      <c r="C506" s="15"/>
    </row>
    <row r="507" spans="3:3" x14ac:dyDescent="0.25">
      <c r="C507" s="15"/>
    </row>
    <row r="508" spans="3:3" x14ac:dyDescent="0.25">
      <c r="C508" s="15"/>
    </row>
    <row r="509" spans="3:3" x14ac:dyDescent="0.25">
      <c r="C509" s="15"/>
    </row>
    <row r="510" spans="3:3" x14ac:dyDescent="0.25">
      <c r="C510" s="15"/>
    </row>
    <row r="511" spans="3:3" x14ac:dyDescent="0.25">
      <c r="C511" s="15"/>
    </row>
    <row r="512" spans="3:3" x14ac:dyDescent="0.25">
      <c r="C512" s="15"/>
    </row>
    <row r="513" spans="3:3" x14ac:dyDescent="0.25">
      <c r="C513" s="15"/>
    </row>
    <row r="514" spans="3:3" x14ac:dyDescent="0.25">
      <c r="C514" s="15"/>
    </row>
    <row r="515" spans="3:3" x14ac:dyDescent="0.25">
      <c r="C515" s="15"/>
    </row>
    <row r="516" spans="3:3" x14ac:dyDescent="0.25">
      <c r="C516" s="15"/>
    </row>
    <row r="517" spans="3:3" x14ac:dyDescent="0.25">
      <c r="C517" s="15"/>
    </row>
    <row r="518" spans="3:3" x14ac:dyDescent="0.25">
      <c r="C518" s="15"/>
    </row>
    <row r="519" spans="3:3" x14ac:dyDescent="0.25">
      <c r="C519" s="15"/>
    </row>
    <row r="520" spans="3:3" x14ac:dyDescent="0.25">
      <c r="C520" s="15"/>
    </row>
    <row r="521" spans="3:3" x14ac:dyDescent="0.25">
      <c r="C521" s="15"/>
    </row>
    <row r="522" spans="3:3" x14ac:dyDescent="0.25">
      <c r="C522" s="15"/>
    </row>
    <row r="523" spans="3:3" x14ac:dyDescent="0.25">
      <c r="C523" s="15"/>
    </row>
    <row r="524" spans="3:3" x14ac:dyDescent="0.25">
      <c r="C524" s="15"/>
    </row>
    <row r="525" spans="3:3" x14ac:dyDescent="0.25">
      <c r="C525" s="15"/>
    </row>
    <row r="526" spans="3:3" x14ac:dyDescent="0.25">
      <c r="C526" s="15"/>
    </row>
    <row r="527" spans="3:3" x14ac:dyDescent="0.25">
      <c r="C527" s="15"/>
    </row>
    <row r="528" spans="3:3" x14ac:dyDescent="0.25">
      <c r="C528" s="15"/>
    </row>
    <row r="529" spans="3:3" x14ac:dyDescent="0.25">
      <c r="C529" s="15"/>
    </row>
    <row r="530" spans="3:3" x14ac:dyDescent="0.25">
      <c r="C530" s="15"/>
    </row>
    <row r="531" spans="3:3" x14ac:dyDescent="0.25">
      <c r="C531" s="15"/>
    </row>
    <row r="532" spans="3:3" x14ac:dyDescent="0.25">
      <c r="C532" s="15"/>
    </row>
    <row r="533" spans="3:3" x14ac:dyDescent="0.25">
      <c r="C533" s="15"/>
    </row>
    <row r="534" spans="3:3" x14ac:dyDescent="0.25">
      <c r="C534" s="15"/>
    </row>
    <row r="535" spans="3:3" x14ac:dyDescent="0.25">
      <c r="C535" s="15"/>
    </row>
    <row r="536" spans="3:3" x14ac:dyDescent="0.25">
      <c r="C536" s="15"/>
    </row>
    <row r="537" spans="3:3" x14ac:dyDescent="0.25">
      <c r="C537" s="15"/>
    </row>
    <row r="538" spans="3:3" x14ac:dyDescent="0.25">
      <c r="C538" s="15"/>
    </row>
    <row r="539" spans="3:3" x14ac:dyDescent="0.25">
      <c r="C539" s="15"/>
    </row>
    <row r="540" spans="3:3" x14ac:dyDescent="0.25">
      <c r="C540" s="15"/>
    </row>
    <row r="541" spans="3:3" x14ac:dyDescent="0.25">
      <c r="C541" s="15"/>
    </row>
    <row r="542" spans="3:3" x14ac:dyDescent="0.25">
      <c r="C542" s="15"/>
    </row>
    <row r="543" spans="3:3" x14ac:dyDescent="0.25">
      <c r="C543" s="15"/>
    </row>
    <row r="544" spans="3:3" x14ac:dyDescent="0.25">
      <c r="C544" s="15"/>
    </row>
    <row r="545" spans="3:3" x14ac:dyDescent="0.25">
      <c r="C545" s="15"/>
    </row>
    <row r="546" spans="3:3" x14ac:dyDescent="0.25">
      <c r="C546" s="15"/>
    </row>
    <row r="547" spans="3:3" x14ac:dyDescent="0.25">
      <c r="C547" s="15"/>
    </row>
    <row r="548" spans="3:3" x14ac:dyDescent="0.25">
      <c r="C548" s="15"/>
    </row>
    <row r="549" spans="3:3" x14ac:dyDescent="0.25">
      <c r="C549" s="15"/>
    </row>
    <row r="550" spans="3:3" x14ac:dyDescent="0.25">
      <c r="C550" s="15"/>
    </row>
    <row r="551" spans="3:3" x14ac:dyDescent="0.25">
      <c r="C551" s="15"/>
    </row>
    <row r="552" spans="3:3" x14ac:dyDescent="0.25">
      <c r="C552" s="15"/>
    </row>
    <row r="553" spans="3:3" x14ac:dyDescent="0.25">
      <c r="C553" s="15"/>
    </row>
    <row r="554" spans="3:3" x14ac:dyDescent="0.25">
      <c r="C554" s="15"/>
    </row>
    <row r="555" spans="3:3" x14ac:dyDescent="0.25">
      <c r="C555" s="15"/>
    </row>
    <row r="556" spans="3:3" x14ac:dyDescent="0.25">
      <c r="C556" s="15"/>
    </row>
    <row r="557" spans="3:3" x14ac:dyDescent="0.25">
      <c r="C557" s="15"/>
    </row>
    <row r="558" spans="3:3" x14ac:dyDescent="0.25">
      <c r="C558" s="15"/>
    </row>
    <row r="559" spans="3:3" x14ac:dyDescent="0.25">
      <c r="C559" s="15"/>
    </row>
    <row r="560" spans="3:3" x14ac:dyDescent="0.25">
      <c r="C560" s="15"/>
    </row>
    <row r="561" spans="3:3" x14ac:dyDescent="0.25">
      <c r="C561" s="15"/>
    </row>
    <row r="562" spans="3:3" x14ac:dyDescent="0.25">
      <c r="C562" s="15"/>
    </row>
    <row r="563" spans="3:3" x14ac:dyDescent="0.25">
      <c r="C563" s="15"/>
    </row>
    <row r="564" spans="3:3" x14ac:dyDescent="0.25">
      <c r="C564" s="15"/>
    </row>
    <row r="565" spans="3:3" x14ac:dyDescent="0.25">
      <c r="C565" s="15"/>
    </row>
    <row r="566" spans="3:3" x14ac:dyDescent="0.25">
      <c r="C566" s="15"/>
    </row>
    <row r="567" spans="3:3" x14ac:dyDescent="0.25">
      <c r="C567" s="15"/>
    </row>
    <row r="568" spans="3:3" x14ac:dyDescent="0.25">
      <c r="C568" s="15"/>
    </row>
    <row r="569" spans="3:3" x14ac:dyDescent="0.25">
      <c r="C569" s="15"/>
    </row>
    <row r="570" spans="3:3" x14ac:dyDescent="0.25">
      <c r="C570" s="15"/>
    </row>
    <row r="571" spans="3:3" x14ac:dyDescent="0.25">
      <c r="C571" s="15"/>
    </row>
    <row r="572" spans="3:3" x14ac:dyDescent="0.25">
      <c r="C572" s="15"/>
    </row>
    <row r="573" spans="3:3" x14ac:dyDescent="0.25">
      <c r="C573" s="15"/>
    </row>
    <row r="574" spans="3:3" x14ac:dyDescent="0.25">
      <c r="C574" s="15"/>
    </row>
    <row r="575" spans="3:3" x14ac:dyDescent="0.25">
      <c r="C575" s="15"/>
    </row>
    <row r="576" spans="3:3" x14ac:dyDescent="0.25">
      <c r="C576" s="15"/>
    </row>
    <row r="577" spans="3:3" x14ac:dyDescent="0.25">
      <c r="C577" s="15"/>
    </row>
    <row r="578" spans="3:3" x14ac:dyDescent="0.25">
      <c r="C578" s="15"/>
    </row>
    <row r="579" spans="3:3" x14ac:dyDescent="0.25">
      <c r="C579" s="15"/>
    </row>
    <row r="580" spans="3:3" x14ac:dyDescent="0.25">
      <c r="C580" s="15"/>
    </row>
    <row r="581" spans="3:3" x14ac:dyDescent="0.25">
      <c r="C581" s="15"/>
    </row>
    <row r="582" spans="3:3" x14ac:dyDescent="0.25">
      <c r="C582" s="15"/>
    </row>
    <row r="583" spans="3:3" x14ac:dyDescent="0.25">
      <c r="C583" s="15"/>
    </row>
    <row r="584" spans="3:3" x14ac:dyDescent="0.25">
      <c r="C584" s="15"/>
    </row>
    <row r="585" spans="3:3" x14ac:dyDescent="0.25">
      <c r="C585" s="15"/>
    </row>
    <row r="586" spans="3:3" x14ac:dyDescent="0.25">
      <c r="C586" s="15"/>
    </row>
    <row r="587" spans="3:3" x14ac:dyDescent="0.25">
      <c r="C587" s="15"/>
    </row>
    <row r="588" spans="3:3" x14ac:dyDescent="0.25">
      <c r="C588" s="15"/>
    </row>
    <row r="589" spans="3:3" x14ac:dyDescent="0.25">
      <c r="C589" s="15"/>
    </row>
    <row r="590" spans="3:3" x14ac:dyDescent="0.25">
      <c r="C590" s="15"/>
    </row>
    <row r="591" spans="3:3" x14ac:dyDescent="0.25">
      <c r="C591" s="15"/>
    </row>
    <row r="592" spans="3:3" x14ac:dyDescent="0.25">
      <c r="C592" s="15"/>
    </row>
    <row r="593" spans="3:3" x14ac:dyDescent="0.25">
      <c r="C593" s="15"/>
    </row>
    <row r="594" spans="3:3" x14ac:dyDescent="0.25">
      <c r="C594" s="15"/>
    </row>
    <row r="595" spans="3:3" x14ac:dyDescent="0.25">
      <c r="C595" s="15"/>
    </row>
    <row r="596" spans="3:3" x14ac:dyDescent="0.25">
      <c r="C596" s="15"/>
    </row>
    <row r="597" spans="3:3" x14ac:dyDescent="0.25">
      <c r="C597" s="15"/>
    </row>
    <row r="598" spans="3:3" x14ac:dyDescent="0.25">
      <c r="C598" s="15"/>
    </row>
    <row r="599" spans="3:3" x14ac:dyDescent="0.25">
      <c r="C599" s="15"/>
    </row>
    <row r="600" spans="3:3" x14ac:dyDescent="0.25">
      <c r="C600" s="15"/>
    </row>
    <row r="601" spans="3:3" x14ac:dyDescent="0.25">
      <c r="C601" s="15"/>
    </row>
    <row r="602" spans="3:3" x14ac:dyDescent="0.25">
      <c r="C602" s="15"/>
    </row>
    <row r="603" spans="3:3" x14ac:dyDescent="0.25">
      <c r="C603" s="15"/>
    </row>
    <row r="604" spans="3:3" x14ac:dyDescent="0.25">
      <c r="C604" s="15"/>
    </row>
    <row r="605" spans="3:3" x14ac:dyDescent="0.25">
      <c r="C605" s="15"/>
    </row>
    <row r="606" spans="3:3" x14ac:dyDescent="0.25">
      <c r="C606" s="15"/>
    </row>
    <row r="607" spans="3:3" x14ac:dyDescent="0.25">
      <c r="C607" s="15"/>
    </row>
    <row r="608" spans="3:3" x14ac:dyDescent="0.25">
      <c r="C608" s="15"/>
    </row>
    <row r="609" spans="3:3" x14ac:dyDescent="0.25">
      <c r="C609" s="15"/>
    </row>
    <row r="610" spans="3:3" x14ac:dyDescent="0.25">
      <c r="C610" s="15"/>
    </row>
    <row r="611" spans="3:3" x14ac:dyDescent="0.25">
      <c r="C611" s="15"/>
    </row>
    <row r="612" spans="3:3" x14ac:dyDescent="0.25">
      <c r="C612" s="15"/>
    </row>
    <row r="613" spans="3:3" x14ac:dyDescent="0.25">
      <c r="C613" s="15"/>
    </row>
    <row r="614" spans="3:3" x14ac:dyDescent="0.25">
      <c r="C614" s="15"/>
    </row>
    <row r="615" spans="3:3" x14ac:dyDescent="0.25">
      <c r="C615" s="15"/>
    </row>
    <row r="616" spans="3:3" x14ac:dyDescent="0.25">
      <c r="C616" s="15"/>
    </row>
    <row r="617" spans="3:3" x14ac:dyDescent="0.25">
      <c r="C617" s="15"/>
    </row>
    <row r="618" spans="3:3" x14ac:dyDescent="0.25">
      <c r="C618" s="15"/>
    </row>
    <row r="619" spans="3:3" x14ac:dyDescent="0.25">
      <c r="C619" s="15"/>
    </row>
    <row r="620" spans="3:3" x14ac:dyDescent="0.25">
      <c r="C620" s="15"/>
    </row>
    <row r="621" spans="3:3" x14ac:dyDescent="0.25">
      <c r="C621" s="15"/>
    </row>
    <row r="622" spans="3:3" x14ac:dyDescent="0.25">
      <c r="C622" s="15"/>
    </row>
    <row r="623" spans="3:3" x14ac:dyDescent="0.25">
      <c r="C623" s="15"/>
    </row>
    <row r="624" spans="3:3" x14ac:dyDescent="0.25">
      <c r="C624" s="15"/>
    </row>
    <row r="625" spans="3:3" x14ac:dyDescent="0.25">
      <c r="C625" s="15"/>
    </row>
    <row r="626" spans="3:3" x14ac:dyDescent="0.25">
      <c r="C626" s="15"/>
    </row>
    <row r="627" spans="3:3" x14ac:dyDescent="0.25">
      <c r="C627" s="15"/>
    </row>
    <row r="628" spans="3:3" x14ac:dyDescent="0.25">
      <c r="C628" s="15"/>
    </row>
    <row r="629" spans="3:3" x14ac:dyDescent="0.25">
      <c r="C629" s="15"/>
    </row>
    <row r="630" spans="3:3" x14ac:dyDescent="0.25">
      <c r="C630" s="15"/>
    </row>
    <row r="631" spans="3:3" x14ac:dyDescent="0.25">
      <c r="C631" s="15"/>
    </row>
    <row r="632" spans="3:3" x14ac:dyDescent="0.25">
      <c r="C632" s="15"/>
    </row>
    <row r="633" spans="3:3" x14ac:dyDescent="0.25">
      <c r="C633" s="15"/>
    </row>
    <row r="634" spans="3:3" x14ac:dyDescent="0.25">
      <c r="C634" s="15"/>
    </row>
    <row r="635" spans="3:3" x14ac:dyDescent="0.25">
      <c r="C635" s="15"/>
    </row>
    <row r="636" spans="3:3" x14ac:dyDescent="0.25">
      <c r="C636" s="15"/>
    </row>
    <row r="637" spans="3:3" x14ac:dyDescent="0.25">
      <c r="C637" s="15"/>
    </row>
    <row r="638" spans="3:3" x14ac:dyDescent="0.25">
      <c r="C638" s="15"/>
    </row>
    <row r="639" spans="3:3" x14ac:dyDescent="0.25">
      <c r="C639" s="15"/>
    </row>
    <row r="640" spans="3:3" x14ac:dyDescent="0.25">
      <c r="C640" s="15"/>
    </row>
    <row r="641" spans="3:3" x14ac:dyDescent="0.25">
      <c r="C641" s="15"/>
    </row>
    <row r="642" spans="3:3" x14ac:dyDescent="0.25">
      <c r="C642" s="15"/>
    </row>
    <row r="643" spans="3:3" x14ac:dyDescent="0.25">
      <c r="C643" s="15"/>
    </row>
    <row r="644" spans="3:3" x14ac:dyDescent="0.25">
      <c r="C644" s="15"/>
    </row>
    <row r="645" spans="3:3" x14ac:dyDescent="0.25">
      <c r="C645" s="15"/>
    </row>
    <row r="646" spans="3:3" x14ac:dyDescent="0.25">
      <c r="C646" s="15"/>
    </row>
    <row r="647" spans="3:3" x14ac:dyDescent="0.25">
      <c r="C647" s="15"/>
    </row>
    <row r="648" spans="3:3" x14ac:dyDescent="0.25">
      <c r="C648" s="15"/>
    </row>
    <row r="649" spans="3:3" x14ac:dyDescent="0.25">
      <c r="C649" s="15"/>
    </row>
    <row r="650" spans="3:3" x14ac:dyDescent="0.25">
      <c r="C650" s="15"/>
    </row>
    <row r="651" spans="3:3" x14ac:dyDescent="0.25">
      <c r="C651" s="15"/>
    </row>
    <row r="652" spans="3:3" x14ac:dyDescent="0.25">
      <c r="C652" s="15"/>
    </row>
    <row r="653" spans="3:3" x14ac:dyDescent="0.25">
      <c r="C653" s="15"/>
    </row>
    <row r="654" spans="3:3" x14ac:dyDescent="0.25">
      <c r="C654" s="15"/>
    </row>
    <row r="655" spans="3:3" x14ac:dyDescent="0.25">
      <c r="C655" s="15"/>
    </row>
    <row r="656" spans="3:3" x14ac:dyDescent="0.25">
      <c r="C656" s="15"/>
    </row>
    <row r="657" spans="3:3" x14ac:dyDescent="0.25">
      <c r="C657" s="15"/>
    </row>
    <row r="658" spans="3:3" x14ac:dyDescent="0.25">
      <c r="C658" s="15"/>
    </row>
    <row r="659" spans="3:3" x14ac:dyDescent="0.25">
      <c r="C659" s="15"/>
    </row>
    <row r="660" spans="3:3" x14ac:dyDescent="0.25">
      <c r="C660" s="15"/>
    </row>
    <row r="661" spans="3:3" x14ac:dyDescent="0.25">
      <c r="C661" s="15"/>
    </row>
    <row r="662" spans="3:3" x14ac:dyDescent="0.25">
      <c r="C662" s="15"/>
    </row>
    <row r="663" spans="3:3" x14ac:dyDescent="0.25">
      <c r="C663" s="15"/>
    </row>
    <row r="664" spans="3:3" x14ac:dyDescent="0.25">
      <c r="C664" s="15"/>
    </row>
    <row r="665" spans="3:3" x14ac:dyDescent="0.25">
      <c r="C665" s="15"/>
    </row>
    <row r="666" spans="3:3" x14ac:dyDescent="0.25">
      <c r="C666" s="15"/>
    </row>
    <row r="667" spans="3:3" x14ac:dyDescent="0.25">
      <c r="C667" s="15"/>
    </row>
    <row r="668" spans="3:3" x14ac:dyDescent="0.25">
      <c r="C668" s="15"/>
    </row>
    <row r="669" spans="3:3" x14ac:dyDescent="0.25">
      <c r="C669" s="15"/>
    </row>
    <row r="670" spans="3:3" x14ac:dyDescent="0.25">
      <c r="C670" s="15"/>
    </row>
    <row r="671" spans="3:3" x14ac:dyDescent="0.25">
      <c r="C671" s="15"/>
    </row>
    <row r="672" spans="3:3" x14ac:dyDescent="0.25">
      <c r="C672" s="15"/>
    </row>
    <row r="673" spans="3:3" x14ac:dyDescent="0.25">
      <c r="C673" s="15"/>
    </row>
    <row r="674" spans="3:3" x14ac:dyDescent="0.25">
      <c r="C674" s="15"/>
    </row>
    <row r="675" spans="3:3" x14ac:dyDescent="0.25">
      <c r="C675" s="15"/>
    </row>
    <row r="676" spans="3:3" x14ac:dyDescent="0.25">
      <c r="C676" s="15"/>
    </row>
    <row r="677" spans="3:3" x14ac:dyDescent="0.25">
      <c r="C677" s="15"/>
    </row>
    <row r="678" spans="3:3" x14ac:dyDescent="0.25">
      <c r="C678" s="15"/>
    </row>
    <row r="679" spans="3:3" x14ac:dyDescent="0.25">
      <c r="C679" s="15"/>
    </row>
    <row r="680" spans="3:3" x14ac:dyDescent="0.25">
      <c r="C680" s="15"/>
    </row>
    <row r="681" spans="3:3" x14ac:dyDescent="0.25">
      <c r="C681" s="15"/>
    </row>
    <row r="682" spans="3:3" x14ac:dyDescent="0.25">
      <c r="C682" s="15"/>
    </row>
    <row r="683" spans="3:3" x14ac:dyDescent="0.25">
      <c r="C683" s="15"/>
    </row>
    <row r="684" spans="3:3" x14ac:dyDescent="0.25">
      <c r="C684" s="15"/>
    </row>
    <row r="685" spans="3:3" x14ac:dyDescent="0.25">
      <c r="C685" s="15"/>
    </row>
    <row r="686" spans="3:3" x14ac:dyDescent="0.25">
      <c r="C686" s="15"/>
    </row>
    <row r="687" spans="3:3" x14ac:dyDescent="0.25">
      <c r="C687" s="15"/>
    </row>
    <row r="688" spans="3:3" x14ac:dyDescent="0.25">
      <c r="C688" s="15"/>
    </row>
    <row r="689" spans="3:3" x14ac:dyDescent="0.25">
      <c r="C689" s="15"/>
    </row>
    <row r="690" spans="3:3" x14ac:dyDescent="0.25">
      <c r="C690" s="15"/>
    </row>
    <row r="691" spans="3:3" x14ac:dyDescent="0.25">
      <c r="C691" s="15"/>
    </row>
    <row r="692" spans="3:3" x14ac:dyDescent="0.25">
      <c r="C692" s="15"/>
    </row>
    <row r="693" spans="3:3" x14ac:dyDescent="0.25">
      <c r="C693" s="15"/>
    </row>
    <row r="694" spans="3:3" x14ac:dyDescent="0.25">
      <c r="C694" s="15"/>
    </row>
    <row r="695" spans="3:3" x14ac:dyDescent="0.25">
      <c r="C695" s="15"/>
    </row>
    <row r="696" spans="3:3" x14ac:dyDescent="0.25">
      <c r="C696" s="15"/>
    </row>
    <row r="697" spans="3:3" x14ac:dyDescent="0.25">
      <c r="C697" s="15"/>
    </row>
    <row r="698" spans="3:3" x14ac:dyDescent="0.25">
      <c r="C698" s="15"/>
    </row>
    <row r="699" spans="3:3" x14ac:dyDescent="0.25">
      <c r="C699" s="15"/>
    </row>
    <row r="700" spans="3:3" x14ac:dyDescent="0.25">
      <c r="C700" s="15"/>
    </row>
    <row r="701" spans="3:3" x14ac:dyDescent="0.25">
      <c r="C701" s="15"/>
    </row>
    <row r="702" spans="3:3" x14ac:dyDescent="0.25">
      <c r="C702" s="15"/>
    </row>
    <row r="703" spans="3:3" x14ac:dyDescent="0.25">
      <c r="C703" s="15"/>
    </row>
    <row r="704" spans="3:3" x14ac:dyDescent="0.25">
      <c r="C704" s="15"/>
    </row>
    <row r="705" spans="3:3" x14ac:dyDescent="0.25">
      <c r="C705" s="15"/>
    </row>
    <row r="706" spans="3:3" x14ac:dyDescent="0.25">
      <c r="C706" s="15"/>
    </row>
    <row r="707" spans="3:3" x14ac:dyDescent="0.25">
      <c r="C707" s="15"/>
    </row>
    <row r="708" spans="3:3" x14ac:dyDescent="0.25">
      <c r="C708" s="15"/>
    </row>
    <row r="709" spans="3:3" x14ac:dyDescent="0.25">
      <c r="C709" s="15"/>
    </row>
    <row r="710" spans="3:3" x14ac:dyDescent="0.25">
      <c r="C710" s="15"/>
    </row>
    <row r="711" spans="3:3" x14ac:dyDescent="0.25">
      <c r="C711" s="15"/>
    </row>
    <row r="712" spans="3:3" x14ac:dyDescent="0.25">
      <c r="C712" s="15"/>
    </row>
    <row r="713" spans="3:3" x14ac:dyDescent="0.25">
      <c r="C713" s="15"/>
    </row>
    <row r="714" spans="3:3" x14ac:dyDescent="0.25">
      <c r="C714" s="15"/>
    </row>
    <row r="715" spans="3:3" x14ac:dyDescent="0.25">
      <c r="C715" s="15"/>
    </row>
    <row r="716" spans="3:3" x14ac:dyDescent="0.25">
      <c r="C716" s="15"/>
    </row>
    <row r="717" spans="3:3" x14ac:dyDescent="0.25">
      <c r="C717" s="15"/>
    </row>
    <row r="718" spans="3:3" x14ac:dyDescent="0.25">
      <c r="C718" s="15"/>
    </row>
    <row r="719" spans="3:3" x14ac:dyDescent="0.25">
      <c r="C719" s="15"/>
    </row>
    <row r="720" spans="3:3" x14ac:dyDescent="0.25">
      <c r="C720" s="15"/>
    </row>
    <row r="721" spans="3:3" x14ac:dyDescent="0.25">
      <c r="C721" s="15"/>
    </row>
    <row r="722" spans="3:3" x14ac:dyDescent="0.25">
      <c r="C722" s="15"/>
    </row>
    <row r="723" spans="3:3" x14ac:dyDescent="0.25">
      <c r="C723" s="15"/>
    </row>
    <row r="724" spans="3:3" x14ac:dyDescent="0.25">
      <c r="C724" s="15"/>
    </row>
    <row r="725" spans="3:3" x14ac:dyDescent="0.25">
      <c r="C725" s="15"/>
    </row>
    <row r="726" spans="3:3" x14ac:dyDescent="0.25">
      <c r="C726" s="15"/>
    </row>
    <row r="727" spans="3:3" x14ac:dyDescent="0.25">
      <c r="C727" s="15"/>
    </row>
    <row r="728" spans="3:3" x14ac:dyDescent="0.25">
      <c r="C728" s="15"/>
    </row>
    <row r="729" spans="3:3" x14ac:dyDescent="0.25">
      <c r="C729" s="15"/>
    </row>
    <row r="730" spans="3:3" x14ac:dyDescent="0.25">
      <c r="C730" s="15"/>
    </row>
    <row r="731" spans="3:3" x14ac:dyDescent="0.25">
      <c r="C731" s="15"/>
    </row>
    <row r="732" spans="3:3" x14ac:dyDescent="0.25">
      <c r="C732" s="15"/>
    </row>
    <row r="733" spans="3:3" x14ac:dyDescent="0.25">
      <c r="C733" s="15"/>
    </row>
    <row r="734" spans="3:3" x14ac:dyDescent="0.25">
      <c r="C734" s="15"/>
    </row>
    <row r="735" spans="3:3" x14ac:dyDescent="0.25">
      <c r="C735" s="15"/>
    </row>
    <row r="736" spans="3:3" x14ac:dyDescent="0.25">
      <c r="C736" s="15"/>
    </row>
    <row r="737" spans="3:3" x14ac:dyDescent="0.25">
      <c r="C737" s="15"/>
    </row>
    <row r="738" spans="3:3" x14ac:dyDescent="0.25">
      <c r="C738" s="15"/>
    </row>
    <row r="739" spans="3:3" x14ac:dyDescent="0.25">
      <c r="C739" s="15"/>
    </row>
    <row r="740" spans="3:3" x14ac:dyDescent="0.25">
      <c r="C740" s="15"/>
    </row>
    <row r="741" spans="3:3" x14ac:dyDescent="0.25">
      <c r="C741" s="15"/>
    </row>
    <row r="742" spans="3:3" x14ac:dyDescent="0.25">
      <c r="C742" s="15"/>
    </row>
    <row r="743" spans="3:3" x14ac:dyDescent="0.25">
      <c r="C743" s="15"/>
    </row>
    <row r="744" spans="3:3" x14ac:dyDescent="0.25">
      <c r="C744" s="15"/>
    </row>
    <row r="745" spans="3:3" x14ac:dyDescent="0.25">
      <c r="C745" s="15"/>
    </row>
    <row r="746" spans="3:3" x14ac:dyDescent="0.25">
      <c r="C746" s="15"/>
    </row>
    <row r="747" spans="3:3" x14ac:dyDescent="0.25">
      <c r="C747" s="15"/>
    </row>
    <row r="748" spans="3:3" x14ac:dyDescent="0.25">
      <c r="C748" s="15"/>
    </row>
    <row r="749" spans="3:3" x14ac:dyDescent="0.25">
      <c r="C749" s="15"/>
    </row>
    <row r="750" spans="3:3" x14ac:dyDescent="0.25">
      <c r="C750" s="15"/>
    </row>
    <row r="751" spans="3:3" x14ac:dyDescent="0.25">
      <c r="C751" s="15"/>
    </row>
    <row r="752" spans="3:3" x14ac:dyDescent="0.25">
      <c r="C752" s="15"/>
    </row>
    <row r="753" spans="3:3" x14ac:dyDescent="0.25">
      <c r="C753" s="15"/>
    </row>
    <row r="754" spans="3:3" x14ac:dyDescent="0.25">
      <c r="C754" s="15"/>
    </row>
    <row r="755" spans="3:3" x14ac:dyDescent="0.25">
      <c r="C755" s="15"/>
    </row>
    <row r="756" spans="3:3" x14ac:dyDescent="0.25">
      <c r="C756" s="15"/>
    </row>
    <row r="757" spans="3:3" x14ac:dyDescent="0.25">
      <c r="C757" s="15"/>
    </row>
    <row r="758" spans="3:3" x14ac:dyDescent="0.25">
      <c r="C758" s="15"/>
    </row>
    <row r="759" spans="3:3" x14ac:dyDescent="0.25">
      <c r="C759" s="15"/>
    </row>
    <row r="760" spans="3:3" x14ac:dyDescent="0.25">
      <c r="C760" s="15"/>
    </row>
    <row r="761" spans="3:3" x14ac:dyDescent="0.25">
      <c r="C761" s="15"/>
    </row>
    <row r="762" spans="3:3" x14ac:dyDescent="0.25">
      <c r="C762" s="15"/>
    </row>
    <row r="763" spans="3:3" x14ac:dyDescent="0.25">
      <c r="C763" s="15"/>
    </row>
    <row r="764" spans="3:3" x14ac:dyDescent="0.25">
      <c r="C764" s="15"/>
    </row>
    <row r="765" spans="3:3" x14ac:dyDescent="0.25">
      <c r="C765" s="15"/>
    </row>
    <row r="766" spans="3:3" x14ac:dyDescent="0.25">
      <c r="C766" s="15"/>
    </row>
    <row r="767" spans="3:3" x14ac:dyDescent="0.25">
      <c r="C767" s="15"/>
    </row>
    <row r="768" spans="3:3" x14ac:dyDescent="0.25">
      <c r="C768" s="15"/>
    </row>
    <row r="769" spans="3:3" x14ac:dyDescent="0.25">
      <c r="C769" s="15"/>
    </row>
    <row r="770" spans="3:3" x14ac:dyDescent="0.25">
      <c r="C770" s="15"/>
    </row>
    <row r="771" spans="3:3" x14ac:dyDescent="0.25">
      <c r="C771" s="15"/>
    </row>
    <row r="772" spans="3:3" x14ac:dyDescent="0.25">
      <c r="C772" s="15"/>
    </row>
    <row r="773" spans="3:3" x14ac:dyDescent="0.25">
      <c r="C773" s="15"/>
    </row>
    <row r="774" spans="3:3" x14ac:dyDescent="0.25">
      <c r="C774" s="15"/>
    </row>
    <row r="775" spans="3:3" x14ac:dyDescent="0.25">
      <c r="C775" s="15"/>
    </row>
    <row r="776" spans="3:3" x14ac:dyDescent="0.25">
      <c r="C776" s="15"/>
    </row>
    <row r="777" spans="3:3" x14ac:dyDescent="0.25">
      <c r="C777" s="15"/>
    </row>
    <row r="778" spans="3:3" x14ac:dyDescent="0.25">
      <c r="C778" s="15"/>
    </row>
    <row r="779" spans="3:3" x14ac:dyDescent="0.25">
      <c r="C779" s="15"/>
    </row>
    <row r="780" spans="3:3" x14ac:dyDescent="0.25">
      <c r="C780" s="15"/>
    </row>
    <row r="781" spans="3:3" x14ac:dyDescent="0.25">
      <c r="C781" s="15"/>
    </row>
    <row r="782" spans="3:3" x14ac:dyDescent="0.25">
      <c r="C782" s="15"/>
    </row>
    <row r="783" spans="3:3" x14ac:dyDescent="0.25">
      <c r="C783" s="15"/>
    </row>
    <row r="784" spans="3:3" x14ac:dyDescent="0.25">
      <c r="C784" s="15"/>
    </row>
    <row r="785" spans="3:3" x14ac:dyDescent="0.25">
      <c r="C785" s="15"/>
    </row>
    <row r="786" spans="3:3" x14ac:dyDescent="0.25">
      <c r="C786" s="15"/>
    </row>
    <row r="787" spans="3:3" x14ac:dyDescent="0.25">
      <c r="C787" s="15"/>
    </row>
    <row r="788" spans="3:3" x14ac:dyDescent="0.25">
      <c r="C788" s="15"/>
    </row>
    <row r="789" spans="3:3" x14ac:dyDescent="0.25">
      <c r="C789" s="15"/>
    </row>
    <row r="790" spans="3:3" x14ac:dyDescent="0.25">
      <c r="C790" s="15"/>
    </row>
    <row r="791" spans="3:3" x14ac:dyDescent="0.25">
      <c r="C791" s="15"/>
    </row>
    <row r="792" spans="3:3" x14ac:dyDescent="0.25">
      <c r="C792" s="15"/>
    </row>
    <row r="793" spans="3:3" x14ac:dyDescent="0.25">
      <c r="C793" s="15"/>
    </row>
    <row r="794" spans="3:3" x14ac:dyDescent="0.25">
      <c r="C794" s="15"/>
    </row>
    <row r="795" spans="3:3" x14ac:dyDescent="0.25">
      <c r="C795" s="15"/>
    </row>
    <row r="796" spans="3:3" x14ac:dyDescent="0.25">
      <c r="C796" s="15"/>
    </row>
    <row r="797" spans="3:3" x14ac:dyDescent="0.25">
      <c r="C797" s="15"/>
    </row>
    <row r="798" spans="3:3" x14ac:dyDescent="0.25">
      <c r="C798" s="15"/>
    </row>
    <row r="799" spans="3:3" x14ac:dyDescent="0.25">
      <c r="C799" s="15"/>
    </row>
    <row r="800" spans="3:3" x14ac:dyDescent="0.25">
      <c r="C800" s="15"/>
    </row>
    <row r="801" spans="3:3" x14ac:dyDescent="0.25">
      <c r="C801" s="15"/>
    </row>
    <row r="802" spans="3:3" x14ac:dyDescent="0.25">
      <c r="C802" s="15"/>
    </row>
    <row r="803" spans="3:3" x14ac:dyDescent="0.25">
      <c r="C803" s="15"/>
    </row>
    <row r="804" spans="3:3" x14ac:dyDescent="0.25">
      <c r="C804" s="15"/>
    </row>
    <row r="805" spans="3:3" x14ac:dyDescent="0.25">
      <c r="C805" s="15"/>
    </row>
    <row r="806" spans="3:3" x14ac:dyDescent="0.25">
      <c r="C806" s="15"/>
    </row>
    <row r="807" spans="3:3" x14ac:dyDescent="0.25">
      <c r="C807" s="15"/>
    </row>
    <row r="808" spans="3:3" x14ac:dyDescent="0.25">
      <c r="C808" s="15"/>
    </row>
    <row r="809" spans="3:3" x14ac:dyDescent="0.25">
      <c r="C809" s="15"/>
    </row>
    <row r="810" spans="3:3" x14ac:dyDescent="0.25">
      <c r="C810" s="15"/>
    </row>
    <row r="811" spans="3:3" x14ac:dyDescent="0.25">
      <c r="C811" s="15"/>
    </row>
    <row r="812" spans="3:3" x14ac:dyDescent="0.25">
      <c r="C812" s="15"/>
    </row>
    <row r="813" spans="3:3" x14ac:dyDescent="0.25">
      <c r="C813" s="15"/>
    </row>
    <row r="814" spans="3:3" x14ac:dyDescent="0.25">
      <c r="C814" s="15"/>
    </row>
    <row r="815" spans="3:3" x14ac:dyDescent="0.25">
      <c r="C815" s="15"/>
    </row>
    <row r="816" spans="3:3" x14ac:dyDescent="0.25">
      <c r="C816" s="15"/>
    </row>
    <row r="817" spans="3:3" x14ac:dyDescent="0.25">
      <c r="C817" s="15"/>
    </row>
    <row r="818" spans="3:3" x14ac:dyDescent="0.25">
      <c r="C818" s="15"/>
    </row>
    <row r="819" spans="3:3" x14ac:dyDescent="0.25">
      <c r="C819" s="15"/>
    </row>
    <row r="820" spans="3:3" x14ac:dyDescent="0.25">
      <c r="C820" s="15"/>
    </row>
    <row r="821" spans="3:3" x14ac:dyDescent="0.25">
      <c r="C821" s="15"/>
    </row>
    <row r="822" spans="3:3" x14ac:dyDescent="0.25">
      <c r="C822" s="15"/>
    </row>
    <row r="823" spans="3:3" x14ac:dyDescent="0.25">
      <c r="C823" s="15"/>
    </row>
    <row r="824" spans="3:3" x14ac:dyDescent="0.25">
      <c r="C824" s="15"/>
    </row>
    <row r="825" spans="3:3" x14ac:dyDescent="0.25">
      <c r="C825" s="15"/>
    </row>
    <row r="826" spans="3:3" x14ac:dyDescent="0.25">
      <c r="C826" s="15"/>
    </row>
    <row r="827" spans="3:3" x14ac:dyDescent="0.25">
      <c r="C827" s="15"/>
    </row>
    <row r="828" spans="3:3" x14ac:dyDescent="0.25">
      <c r="C828" s="15"/>
    </row>
    <row r="829" spans="3:3" x14ac:dyDescent="0.25">
      <c r="C829" s="15"/>
    </row>
    <row r="830" spans="3:3" x14ac:dyDescent="0.25">
      <c r="C830" s="15"/>
    </row>
    <row r="831" spans="3:3" x14ac:dyDescent="0.25">
      <c r="C831" s="15"/>
    </row>
    <row r="832" spans="3:3" x14ac:dyDescent="0.25">
      <c r="C832" s="15"/>
    </row>
    <row r="833" spans="3:3" x14ac:dyDescent="0.25">
      <c r="C833" s="15"/>
    </row>
    <row r="834" spans="3:3" x14ac:dyDescent="0.25">
      <c r="C834" s="15"/>
    </row>
    <row r="835" spans="3:3" x14ac:dyDescent="0.25">
      <c r="C835" s="15"/>
    </row>
    <row r="836" spans="3:3" x14ac:dyDescent="0.25">
      <c r="C836" s="15"/>
    </row>
    <row r="837" spans="3:3" x14ac:dyDescent="0.25">
      <c r="C837" s="15"/>
    </row>
    <row r="838" spans="3:3" x14ac:dyDescent="0.25">
      <c r="C838" s="15"/>
    </row>
    <row r="839" spans="3:3" x14ac:dyDescent="0.25">
      <c r="C839" s="15"/>
    </row>
    <row r="840" spans="3:3" x14ac:dyDescent="0.25">
      <c r="C840" s="15"/>
    </row>
    <row r="841" spans="3:3" x14ac:dyDescent="0.25">
      <c r="C841" s="15"/>
    </row>
    <row r="842" spans="3:3" x14ac:dyDescent="0.25">
      <c r="C842" s="15"/>
    </row>
    <row r="843" spans="3:3" x14ac:dyDescent="0.25">
      <c r="C843" s="15"/>
    </row>
    <row r="844" spans="3:3" x14ac:dyDescent="0.25">
      <c r="C844" s="15"/>
    </row>
    <row r="845" spans="3:3" x14ac:dyDescent="0.25">
      <c r="C845" s="15"/>
    </row>
    <row r="846" spans="3:3" x14ac:dyDescent="0.25">
      <c r="C846" s="15"/>
    </row>
    <row r="847" spans="3:3" x14ac:dyDescent="0.25">
      <c r="C847" s="15"/>
    </row>
    <row r="848" spans="3:3" x14ac:dyDescent="0.25">
      <c r="C848" s="15"/>
    </row>
    <row r="849" spans="3:3" x14ac:dyDescent="0.25">
      <c r="C849" s="15"/>
    </row>
    <row r="850" spans="3:3" x14ac:dyDescent="0.25">
      <c r="C850" s="15"/>
    </row>
    <row r="851" spans="3:3" x14ac:dyDescent="0.25">
      <c r="C851" s="15"/>
    </row>
    <row r="852" spans="3:3" x14ac:dyDescent="0.25">
      <c r="C852" s="15"/>
    </row>
    <row r="853" spans="3:3" x14ac:dyDescent="0.25">
      <c r="C853" s="15"/>
    </row>
    <row r="854" spans="3:3" x14ac:dyDescent="0.25">
      <c r="C854" s="15"/>
    </row>
    <row r="855" spans="3:3" x14ac:dyDescent="0.25">
      <c r="C855" s="15"/>
    </row>
    <row r="856" spans="3:3" x14ac:dyDescent="0.25">
      <c r="C856" s="15"/>
    </row>
    <row r="857" spans="3:3" x14ac:dyDescent="0.25">
      <c r="C857" s="15"/>
    </row>
    <row r="858" spans="3:3" x14ac:dyDescent="0.25">
      <c r="C858" s="15"/>
    </row>
    <row r="859" spans="3:3" x14ac:dyDescent="0.25">
      <c r="C859" s="15"/>
    </row>
    <row r="860" spans="3:3" x14ac:dyDescent="0.25">
      <c r="C860" s="15"/>
    </row>
    <row r="861" spans="3:3" x14ac:dyDescent="0.25">
      <c r="C861" s="15"/>
    </row>
    <row r="862" spans="3:3" x14ac:dyDescent="0.25">
      <c r="C862" s="15"/>
    </row>
    <row r="863" spans="3:3" x14ac:dyDescent="0.25">
      <c r="C863" s="15"/>
    </row>
    <row r="864" spans="3:3" x14ac:dyDescent="0.25">
      <c r="C864" s="15"/>
    </row>
    <row r="865" spans="3:3" x14ac:dyDescent="0.25">
      <c r="C865" s="15"/>
    </row>
    <row r="866" spans="3:3" x14ac:dyDescent="0.25">
      <c r="C866" s="15"/>
    </row>
    <row r="867" spans="3:3" x14ac:dyDescent="0.25">
      <c r="C867" s="15"/>
    </row>
    <row r="868" spans="3:3" x14ac:dyDescent="0.25">
      <c r="C868" s="15"/>
    </row>
    <row r="869" spans="3:3" x14ac:dyDescent="0.25">
      <c r="C869" s="15"/>
    </row>
    <row r="870" spans="3:3" x14ac:dyDescent="0.25">
      <c r="C870" s="15"/>
    </row>
    <row r="871" spans="3:3" x14ac:dyDescent="0.25">
      <c r="C871" s="15"/>
    </row>
    <row r="872" spans="3:3" x14ac:dyDescent="0.25">
      <c r="C872" s="15"/>
    </row>
    <row r="873" spans="3:3" x14ac:dyDescent="0.25">
      <c r="C873" s="15"/>
    </row>
    <row r="874" spans="3:3" x14ac:dyDescent="0.25">
      <c r="C874" s="15"/>
    </row>
    <row r="875" spans="3:3" x14ac:dyDescent="0.25">
      <c r="C875" s="15"/>
    </row>
    <row r="876" spans="3:3" x14ac:dyDescent="0.25">
      <c r="C876" s="15"/>
    </row>
    <row r="877" spans="3:3" x14ac:dyDescent="0.25">
      <c r="C877" s="15"/>
    </row>
    <row r="878" spans="3:3" x14ac:dyDescent="0.25">
      <c r="C878" s="15"/>
    </row>
    <row r="879" spans="3:3" x14ac:dyDescent="0.25">
      <c r="C879" s="15"/>
    </row>
    <row r="880" spans="3:3" x14ac:dyDescent="0.25">
      <c r="C880" s="15"/>
    </row>
    <row r="881" spans="3:3" x14ac:dyDescent="0.25">
      <c r="C881" s="15"/>
    </row>
    <row r="882" spans="3:3" x14ac:dyDescent="0.25">
      <c r="C882" s="15"/>
    </row>
    <row r="883" spans="3:3" x14ac:dyDescent="0.25">
      <c r="C883" s="15"/>
    </row>
    <row r="884" spans="3:3" x14ac:dyDescent="0.25">
      <c r="C884" s="15"/>
    </row>
    <row r="885" spans="3:3" x14ac:dyDescent="0.25">
      <c r="C885" s="15"/>
    </row>
    <row r="886" spans="3:3" x14ac:dyDescent="0.25">
      <c r="C886" s="15"/>
    </row>
    <row r="887" spans="3:3" x14ac:dyDescent="0.25">
      <c r="C887" s="15"/>
    </row>
    <row r="888" spans="3:3" x14ac:dyDescent="0.25">
      <c r="C888" s="15"/>
    </row>
    <row r="889" spans="3:3" x14ac:dyDescent="0.25">
      <c r="C889" s="15"/>
    </row>
    <row r="890" spans="3:3" x14ac:dyDescent="0.25">
      <c r="C890" s="15"/>
    </row>
    <row r="891" spans="3:3" x14ac:dyDescent="0.25">
      <c r="C891" s="15"/>
    </row>
    <row r="892" spans="3:3" x14ac:dyDescent="0.25">
      <c r="C892" s="15"/>
    </row>
    <row r="893" spans="3:3" x14ac:dyDescent="0.25">
      <c r="C893" s="15"/>
    </row>
    <row r="894" spans="3:3" x14ac:dyDescent="0.25">
      <c r="C894" s="15"/>
    </row>
    <row r="895" spans="3:3" x14ac:dyDescent="0.25">
      <c r="C895" s="15"/>
    </row>
    <row r="896" spans="3:3" x14ac:dyDescent="0.25">
      <c r="C896" s="15"/>
    </row>
    <row r="897" spans="3:3" x14ac:dyDescent="0.25">
      <c r="C897" s="15"/>
    </row>
    <row r="898" spans="3:3" x14ac:dyDescent="0.25">
      <c r="C898" s="15"/>
    </row>
    <row r="899" spans="3:3" x14ac:dyDescent="0.25">
      <c r="C899" s="15"/>
    </row>
    <row r="900" spans="3:3" x14ac:dyDescent="0.25">
      <c r="C900" s="15"/>
    </row>
    <row r="901" spans="3:3" x14ac:dyDescent="0.25">
      <c r="C901" s="15"/>
    </row>
    <row r="902" spans="3:3" x14ac:dyDescent="0.25">
      <c r="C902" s="15"/>
    </row>
    <row r="903" spans="3:3" x14ac:dyDescent="0.25">
      <c r="C903" s="15"/>
    </row>
    <row r="904" spans="3:3" x14ac:dyDescent="0.25">
      <c r="C904" s="15"/>
    </row>
    <row r="905" spans="3:3" x14ac:dyDescent="0.25">
      <c r="C905" s="15"/>
    </row>
    <row r="906" spans="3:3" x14ac:dyDescent="0.25">
      <c r="C906" s="15"/>
    </row>
    <row r="907" spans="3:3" x14ac:dyDescent="0.25">
      <c r="C907" s="15"/>
    </row>
    <row r="908" spans="3:3" x14ac:dyDescent="0.25">
      <c r="C908" s="15"/>
    </row>
    <row r="909" spans="3:3" x14ac:dyDescent="0.25">
      <c r="C909" s="15"/>
    </row>
    <row r="910" spans="3:3" x14ac:dyDescent="0.25">
      <c r="C910" s="15"/>
    </row>
    <row r="911" spans="3:3" x14ac:dyDescent="0.25">
      <c r="C911" s="15"/>
    </row>
    <row r="912" spans="3:3" x14ac:dyDescent="0.25">
      <c r="C912" s="15"/>
    </row>
    <row r="913" spans="3:3" x14ac:dyDescent="0.25">
      <c r="C913" s="15"/>
    </row>
    <row r="914" spans="3:3" x14ac:dyDescent="0.25">
      <c r="C914" s="15"/>
    </row>
    <row r="915" spans="3:3" x14ac:dyDescent="0.25">
      <c r="C915" s="15"/>
    </row>
    <row r="916" spans="3:3" x14ac:dyDescent="0.25">
      <c r="C916" s="15"/>
    </row>
    <row r="917" spans="3:3" x14ac:dyDescent="0.25">
      <c r="C917" s="15"/>
    </row>
    <row r="918" spans="3:3" x14ac:dyDescent="0.25">
      <c r="C918" s="15"/>
    </row>
    <row r="919" spans="3:3" x14ac:dyDescent="0.25">
      <c r="C919" s="15"/>
    </row>
    <row r="920" spans="3:3" x14ac:dyDescent="0.25">
      <c r="C920" s="15"/>
    </row>
    <row r="921" spans="3:3" x14ac:dyDescent="0.25">
      <c r="C921" s="15"/>
    </row>
    <row r="922" spans="3:3" x14ac:dyDescent="0.25">
      <c r="C922" s="15"/>
    </row>
    <row r="923" spans="3:3" x14ac:dyDescent="0.25">
      <c r="C923" s="15"/>
    </row>
    <row r="924" spans="3:3" x14ac:dyDescent="0.25">
      <c r="C924" s="15"/>
    </row>
    <row r="925" spans="3:3" x14ac:dyDescent="0.25">
      <c r="C925" s="15"/>
    </row>
    <row r="926" spans="3:3" x14ac:dyDescent="0.25">
      <c r="C926" s="15"/>
    </row>
    <row r="927" spans="3:3" x14ac:dyDescent="0.25">
      <c r="C927" s="15"/>
    </row>
  </sheetData>
  <sortState xmlns:xlrd2="http://schemas.microsoft.com/office/spreadsheetml/2017/richdata2" ref="A3:G26">
    <sortCondition ref="A3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73D6-C013-45C0-A664-99E073D22C4C}">
  <sheetPr codeName="Sheet5"/>
  <dimension ref="A1:P927"/>
  <sheetViews>
    <sheetView showGridLines="0" workbookViewId="0">
      <pane ySplit="2" topLeftCell="A236" activePane="bottomLeft" state="frozen"/>
      <selection pane="bottomLeft" activeCell="D376" sqref="D376"/>
    </sheetView>
  </sheetViews>
  <sheetFormatPr defaultRowHeight="15" x14ac:dyDescent="0.25"/>
  <cols>
    <col min="1" max="1" width="15.28515625" style="9" customWidth="1"/>
    <col min="2" max="2" width="13" style="12" customWidth="1"/>
    <col min="3" max="8" width="23.42578125" style="9" customWidth="1"/>
    <col min="9" max="9" width="17.140625" style="9" customWidth="1"/>
    <col min="10" max="10" width="15.140625" style="9" customWidth="1"/>
    <col min="11" max="12" width="9.140625" style="9"/>
    <col min="13" max="13" width="10.7109375" style="9" bestFit="1" customWidth="1"/>
    <col min="14" max="16" width="9.140625" style="9"/>
  </cols>
  <sheetData>
    <row r="1" spans="1:16" x14ac:dyDescent="0.25">
      <c r="A1" s="10" t="s">
        <v>5</v>
      </c>
      <c r="B1" s="11" t="s">
        <v>6</v>
      </c>
      <c r="C1" s="10" t="s">
        <v>7</v>
      </c>
      <c r="D1" s="10" t="s">
        <v>8</v>
      </c>
      <c r="E1" s="10" t="s">
        <v>9</v>
      </c>
      <c r="F1" s="10" t="s">
        <v>10</v>
      </c>
      <c r="G1" s="10" t="s">
        <v>11</v>
      </c>
      <c r="H1" s="10" t="s">
        <v>12</v>
      </c>
      <c r="I1" s="10" t="s">
        <v>13</v>
      </c>
      <c r="J1" s="10" t="s">
        <v>15</v>
      </c>
      <c r="K1"/>
      <c r="L1"/>
      <c r="M1"/>
      <c r="N1"/>
      <c r="O1"/>
      <c r="P1"/>
    </row>
    <row r="2" spans="1:16" x14ac:dyDescent="0.25">
      <c r="A2" s="10"/>
      <c r="B2" s="11" t="s">
        <v>2</v>
      </c>
      <c r="C2" s="13"/>
      <c r="D2" s="13"/>
      <c r="E2" s="13"/>
      <c r="F2" s="13"/>
      <c r="G2" s="13"/>
      <c r="H2" s="13"/>
      <c r="I2" s="13" t="s">
        <v>14</v>
      </c>
      <c r="J2" s="13" t="s">
        <v>14</v>
      </c>
      <c r="K2"/>
      <c r="L2"/>
      <c r="M2"/>
      <c r="N2"/>
      <c r="O2"/>
      <c r="P2"/>
    </row>
    <row r="3" spans="1:16" x14ac:dyDescent="0.25">
      <c r="A3" s="7">
        <v>43466</v>
      </c>
      <c r="B3" s="8" t="str">
        <f>HYPERLINK("Y:\Brents\Brent Charlie\Brent Charlie Oil Export\6. General Information\Oil Export Totaliser Error\MR 2019\01.01.2019.xlsx","01.01.2019.xlsx")</f>
        <v>01.01.2019.xlsx</v>
      </c>
      <c r="C3" s="14">
        <v>568576.97405900003</v>
      </c>
      <c r="D3" s="14">
        <v>0</v>
      </c>
      <c r="E3" s="14">
        <v>556263.66272599995</v>
      </c>
      <c r="F3" s="14">
        <v>0</v>
      </c>
      <c r="G3" s="14">
        <v>450334.77543400001</v>
      </c>
      <c r="H3" s="14">
        <v>0</v>
      </c>
      <c r="I3" s="14"/>
      <c r="J3" s="14"/>
      <c r="M3" s="18"/>
    </row>
    <row r="4" spans="1:16" x14ac:dyDescent="0.25">
      <c r="A4" s="7">
        <v>43467</v>
      </c>
      <c r="B4" s="8" t="str">
        <f>HYPERLINK("Y:\Brents\Brent Charlie\Brent Charlie Oil Export\6. General Information\Oil Export Totaliser Error\MR 2019\02.01.2019.xlsx","02.01.2019.xlsx")</f>
        <v>02.01.2019.xlsx</v>
      </c>
      <c r="C4" s="14">
        <v>568576.97405900003</v>
      </c>
      <c r="D4" s="14">
        <v>0</v>
      </c>
      <c r="E4" s="14">
        <v>556263.66272599995</v>
      </c>
      <c r="F4" s="14">
        <v>0</v>
      </c>
      <c r="G4" s="14">
        <v>450334.77543400001</v>
      </c>
      <c r="H4" s="14">
        <v>0</v>
      </c>
      <c r="I4" s="14"/>
      <c r="J4" s="14"/>
    </row>
    <row r="5" spans="1:16" x14ac:dyDescent="0.25">
      <c r="A5" s="7">
        <v>43468</v>
      </c>
      <c r="B5" s="8" t="str">
        <f>HYPERLINK("Y:\Brents\Brent Charlie\Brent Charlie Oil Export\6. General Information\Oil Export Totaliser Error\MR 2019\03.01.2019.xlsx","03.01.2019.xlsx")</f>
        <v>03.01.2019.xlsx</v>
      </c>
      <c r="C5" s="14">
        <v>568576.97405900003</v>
      </c>
      <c r="D5" s="14">
        <v>0</v>
      </c>
      <c r="E5" s="14">
        <v>556263.66272599995</v>
      </c>
      <c r="F5" s="14">
        <v>0</v>
      </c>
      <c r="G5" s="14">
        <v>450334.77543400001</v>
      </c>
      <c r="H5" s="14">
        <v>0</v>
      </c>
      <c r="I5" s="14"/>
      <c r="J5" s="14"/>
    </row>
    <row r="6" spans="1:16" x14ac:dyDescent="0.25">
      <c r="A6" s="7">
        <v>43469</v>
      </c>
      <c r="B6" s="8" t="str">
        <f>HYPERLINK("Y:\Brents\Brent Charlie\Brent Charlie Oil Export\6. General Information\Oil Export Totaliser Error\MR 2019\04.01.2019.xlsx","04.01.2019.xlsx")</f>
        <v>04.01.2019.xlsx</v>
      </c>
      <c r="C6" s="14">
        <v>568576.97405900003</v>
      </c>
      <c r="D6" s="14">
        <v>0</v>
      </c>
      <c r="E6" s="14">
        <v>556263.66272599995</v>
      </c>
      <c r="F6" s="14">
        <v>0</v>
      </c>
      <c r="G6" s="14">
        <v>450334.77543400001</v>
      </c>
      <c r="H6" s="14">
        <v>0</v>
      </c>
      <c r="I6" s="14"/>
      <c r="J6" s="14"/>
    </row>
    <row r="7" spans="1:16" x14ac:dyDescent="0.25">
      <c r="A7" s="7">
        <v>43470</v>
      </c>
      <c r="B7" s="8" t="str">
        <f>HYPERLINK("Y:\Brents\Brent Charlie\Brent Charlie Oil Export\6. General Information\Oil Export Totaliser Error\MR 2019\05.01.2019.xlsx","05.01.2019.xlsx")</f>
        <v>05.01.2019.xlsx</v>
      </c>
      <c r="C7" s="14">
        <v>568576.97405900003</v>
      </c>
      <c r="D7" s="14">
        <v>0</v>
      </c>
      <c r="E7" s="14">
        <v>556263.66272599995</v>
      </c>
      <c r="F7" s="14">
        <v>0</v>
      </c>
      <c r="G7" s="14">
        <v>450334.77543400001</v>
      </c>
      <c r="H7" s="14">
        <v>0</v>
      </c>
      <c r="I7" s="14"/>
      <c r="J7" s="14"/>
    </row>
    <row r="8" spans="1:16" x14ac:dyDescent="0.25">
      <c r="A8" s="7">
        <v>43471</v>
      </c>
      <c r="B8" s="8" t="str">
        <f>HYPERLINK("Y:\Brents\Brent Charlie\Brent Charlie Oil Export\6. General Information\Oil Export Totaliser Error\MR 2019\06.01.2019.xlsx","06.01.2019.xlsx")</f>
        <v>06.01.2019.xlsx</v>
      </c>
      <c r="C8" s="14">
        <v>568576.97405900003</v>
      </c>
      <c r="D8" s="14">
        <v>0</v>
      </c>
      <c r="E8" s="14">
        <v>556263.66272599995</v>
      </c>
      <c r="F8" s="14">
        <v>0</v>
      </c>
      <c r="G8" s="14">
        <v>450334.77543400001</v>
      </c>
      <c r="H8" s="14">
        <v>0</v>
      </c>
      <c r="I8" s="14"/>
      <c r="J8" s="14"/>
    </row>
    <row r="9" spans="1:16" x14ac:dyDescent="0.25">
      <c r="A9" s="7">
        <v>43472</v>
      </c>
      <c r="B9" s="8" t="str">
        <f>HYPERLINK("Y:\Brents\Brent Charlie\Brent Charlie Oil Export\6. General Information\Oil Export Totaliser Error\MR 2019\07.01.2019.xlsx","07.01.2019.xlsx")</f>
        <v>07.01.2019.xlsx</v>
      </c>
      <c r="C9" s="14">
        <v>568576.97405900003</v>
      </c>
      <c r="D9" s="14">
        <v>0</v>
      </c>
      <c r="E9" s="14">
        <v>556263.66272599995</v>
      </c>
      <c r="F9" s="14">
        <v>0</v>
      </c>
      <c r="G9" s="14">
        <v>450334.77543400001</v>
      </c>
      <c r="H9" s="14">
        <v>0</v>
      </c>
      <c r="I9" s="14"/>
      <c r="J9" s="14"/>
    </row>
    <row r="10" spans="1:16" x14ac:dyDescent="0.25">
      <c r="A10" s="7">
        <v>43473</v>
      </c>
      <c r="B10" s="8" t="str">
        <f>HYPERLINK("Y:\Brents\Brent Charlie\Brent Charlie Oil Export\6. General Information\Oil Export Totaliser Error\MR 2019\08.01.2019.xlsx","08.01.2019.xlsx")</f>
        <v>08.01.2019.xlsx</v>
      </c>
      <c r="C10" s="14">
        <v>568576.97405900003</v>
      </c>
      <c r="D10" s="14">
        <v>0</v>
      </c>
      <c r="E10" s="14">
        <v>556263.66272599995</v>
      </c>
      <c r="F10" s="14">
        <v>0</v>
      </c>
      <c r="G10" s="14">
        <v>450334.77543400001</v>
      </c>
      <c r="H10" s="14">
        <v>0</v>
      </c>
      <c r="I10" s="14"/>
      <c r="J10" s="14"/>
    </row>
    <row r="11" spans="1:16" x14ac:dyDescent="0.25">
      <c r="A11" s="7">
        <v>43474</v>
      </c>
      <c r="B11" s="8" t="str">
        <f>HYPERLINK("Y:\Brents\Brent Charlie\Brent Charlie Oil Export\6. General Information\Oil Export Totaliser Error\MR 2019\09.01.2019.xlsx","09.01.2019.xlsx")</f>
        <v>09.01.2019.xlsx</v>
      </c>
      <c r="C11" s="14">
        <v>568576.97405900003</v>
      </c>
      <c r="D11" s="14">
        <v>0</v>
      </c>
      <c r="E11" s="14">
        <v>556263.66272599995</v>
      </c>
      <c r="F11" s="14">
        <v>0</v>
      </c>
      <c r="G11" s="14">
        <v>450334.77543400001</v>
      </c>
      <c r="H11" s="14">
        <v>0</v>
      </c>
      <c r="I11" s="14"/>
      <c r="J11" s="14"/>
    </row>
    <row r="12" spans="1:16" x14ac:dyDescent="0.25">
      <c r="A12" s="7">
        <v>43475</v>
      </c>
      <c r="B12" s="8" t="str">
        <f>HYPERLINK("Y:\Brents\Brent Charlie\Brent Charlie Oil Export\6. General Information\Oil Export Totaliser Error\MR 2019\10.01.2019.xlsx","10.01.2019.xlsx")</f>
        <v>10.01.2019.xlsx</v>
      </c>
      <c r="C12" s="14">
        <v>568576.97405900003</v>
      </c>
      <c r="D12" s="14">
        <v>0</v>
      </c>
      <c r="E12" s="14">
        <v>556263.66272599995</v>
      </c>
      <c r="F12" s="14">
        <v>0</v>
      </c>
      <c r="G12" s="14">
        <v>450334.77543400001</v>
      </c>
      <c r="H12" s="14">
        <v>0</v>
      </c>
      <c r="I12" s="14"/>
      <c r="J12" s="14"/>
    </row>
    <row r="13" spans="1:16" x14ac:dyDescent="0.25">
      <c r="A13" s="7">
        <v>43476</v>
      </c>
      <c r="B13" s="8" t="str">
        <f>HYPERLINK("Y:\Brents\Brent Charlie\Brent Charlie Oil Export\6. General Information\Oil Export Totaliser Error\MR 2019\11.01.2019.xlsx","11.01.2019.xlsx")</f>
        <v>11.01.2019.xlsx</v>
      </c>
      <c r="C13" s="14">
        <v>568576.97405900003</v>
      </c>
      <c r="D13" s="14">
        <v>0</v>
      </c>
      <c r="E13" s="14">
        <v>556263.66272599995</v>
      </c>
      <c r="F13" s="14">
        <v>0</v>
      </c>
      <c r="G13" s="14">
        <v>450334.77543400001</v>
      </c>
      <c r="H13" s="14">
        <v>0</v>
      </c>
      <c r="I13" s="14"/>
      <c r="J13" s="14"/>
    </row>
    <row r="14" spans="1:16" x14ac:dyDescent="0.25">
      <c r="A14" s="7">
        <v>43477</v>
      </c>
      <c r="B14" s="8" t="str">
        <f>HYPERLINK("Y:\Brents\Brent Charlie\Brent Charlie Oil Export\6. General Information\Oil Export Totaliser Error\MR 2019\12.01.2019.xlsx","12.01.2019.xlsx")</f>
        <v>12.01.2019.xlsx</v>
      </c>
      <c r="C14" s="14">
        <v>568576.97405900003</v>
      </c>
      <c r="D14" s="14">
        <v>0</v>
      </c>
      <c r="E14" s="14">
        <v>556263.66272599995</v>
      </c>
      <c r="F14" s="14">
        <v>0</v>
      </c>
      <c r="G14" s="14">
        <v>450334.77543400001</v>
      </c>
      <c r="H14" s="14">
        <v>0</v>
      </c>
      <c r="I14" s="14"/>
      <c r="J14" s="14"/>
    </row>
    <row r="15" spans="1:16" x14ac:dyDescent="0.25">
      <c r="A15" s="7">
        <v>43478</v>
      </c>
      <c r="B15" s="8" t="str">
        <f>HYPERLINK("Y:\Brents\Brent Charlie\Brent Charlie Oil Export\6. General Information\Oil Export Totaliser Error\MR 2019\13.01.2019.xlsx","13.01.2019.xlsx")</f>
        <v>13.01.2019.xlsx</v>
      </c>
      <c r="C15" s="14">
        <v>568576.97405900003</v>
      </c>
      <c r="D15" s="14">
        <v>0</v>
      </c>
      <c r="E15" s="14">
        <v>556263.66272599995</v>
      </c>
      <c r="F15" s="14">
        <v>0</v>
      </c>
      <c r="G15" s="14">
        <v>450334.77543400001</v>
      </c>
      <c r="H15" s="14">
        <v>0</v>
      </c>
      <c r="I15" s="14"/>
      <c r="J15" s="14"/>
    </row>
    <row r="16" spans="1:16" x14ac:dyDescent="0.25">
      <c r="A16" s="7">
        <v>43479</v>
      </c>
      <c r="B16" s="8" t="str">
        <f>HYPERLINK("Y:\Brents\Brent Charlie\Brent Charlie Oil Export\6. General Information\Oil Export Totaliser Error\MR 2019\14.01.2019.xlsx","14.01.2019.xlsx")</f>
        <v>14.01.2019.xlsx</v>
      </c>
      <c r="C16" s="14">
        <v>568576.97405900003</v>
      </c>
      <c r="D16" s="14">
        <v>0</v>
      </c>
      <c r="E16" s="14">
        <v>556263.66272599995</v>
      </c>
      <c r="F16" s="14">
        <v>0</v>
      </c>
      <c r="G16" s="14">
        <v>450334.77543400001</v>
      </c>
      <c r="H16" s="14">
        <v>0</v>
      </c>
      <c r="I16" s="14"/>
      <c r="J16" s="14"/>
    </row>
    <row r="17" spans="1:10" x14ac:dyDescent="0.25">
      <c r="A17" s="7">
        <v>43480</v>
      </c>
      <c r="B17" s="8" t="str">
        <f>HYPERLINK("Y:\Brents\Brent Charlie\Brent Charlie Oil Export\6. General Information\Oil Export Totaliser Error\MR 2019\15.01.2019.xlsx","15.01.2019.xlsx")</f>
        <v>15.01.2019.xlsx</v>
      </c>
      <c r="C17" s="14">
        <v>568576.97405900003</v>
      </c>
      <c r="D17" s="14">
        <v>0</v>
      </c>
      <c r="E17" s="14">
        <v>556263.66272599995</v>
      </c>
      <c r="F17" s="14">
        <v>0</v>
      </c>
      <c r="G17" s="14">
        <v>450334.77543400001</v>
      </c>
      <c r="H17" s="14">
        <v>0</v>
      </c>
      <c r="I17" s="14"/>
      <c r="J17" s="14"/>
    </row>
    <row r="18" spans="1:10" x14ac:dyDescent="0.25">
      <c r="A18" s="7">
        <v>43481</v>
      </c>
      <c r="B18" s="8" t="str">
        <f>HYPERLINK("Y:\Brents\Brent Charlie\Brent Charlie Oil Export\6. General Information\Oil Export Totaliser Error\MR 2019\16.01.2019.xlsx","16.01.2019.xlsx")</f>
        <v>16.01.2019.xlsx</v>
      </c>
      <c r="C18" s="14">
        <v>568576.97405900003</v>
      </c>
      <c r="D18" s="14">
        <v>0</v>
      </c>
      <c r="E18" s="14">
        <v>556263.66272599995</v>
      </c>
      <c r="F18" s="14">
        <v>0</v>
      </c>
      <c r="G18" s="14">
        <v>450334.77543400001</v>
      </c>
      <c r="H18" s="14">
        <v>0</v>
      </c>
      <c r="I18" s="14"/>
      <c r="J18" s="14"/>
    </row>
    <row r="19" spans="1:10" x14ac:dyDescent="0.25">
      <c r="A19" s="7">
        <v>43482</v>
      </c>
      <c r="B19" s="8" t="str">
        <f>HYPERLINK("Y:\Brents\Brent Charlie\Brent Charlie Oil Export\6. General Information\Oil Export Totaliser Error\MR 2019\17.01.2019.xlsx","17.01.2019.xlsx")</f>
        <v>17.01.2019.xlsx</v>
      </c>
      <c r="C19" s="14">
        <v>568576.97405900003</v>
      </c>
      <c r="D19" s="14">
        <v>0</v>
      </c>
      <c r="E19" s="14">
        <v>556263.66272599995</v>
      </c>
      <c r="F19" s="14">
        <v>0</v>
      </c>
      <c r="G19" s="14">
        <v>450334.77543400001</v>
      </c>
      <c r="H19" s="14">
        <v>0</v>
      </c>
      <c r="I19" s="14"/>
      <c r="J19" s="14"/>
    </row>
    <row r="20" spans="1:10" x14ac:dyDescent="0.25">
      <c r="A20" s="7">
        <v>43483</v>
      </c>
      <c r="B20" s="8" t="str">
        <f>HYPERLINK("Y:\Brents\Brent Charlie\Brent Charlie Oil Export\6. General Information\Oil Export Totaliser Error\MR 2019\18.01.2019.xlsx","18.01.2019.xlsx")</f>
        <v>18.01.2019.xlsx</v>
      </c>
      <c r="C20" s="14">
        <v>568576.97405900003</v>
      </c>
      <c r="D20" s="14">
        <v>0</v>
      </c>
      <c r="E20" s="14">
        <v>556263.66272599995</v>
      </c>
      <c r="F20" s="14">
        <v>0</v>
      </c>
      <c r="G20" s="14">
        <v>450334.77543400001</v>
      </c>
      <c r="H20" s="14">
        <v>0</v>
      </c>
      <c r="I20" s="14"/>
      <c r="J20" s="14"/>
    </row>
    <row r="21" spans="1:10" x14ac:dyDescent="0.25">
      <c r="A21" s="7">
        <v>43484</v>
      </c>
      <c r="B21" s="8" t="str">
        <f>HYPERLINK("Y:\Brents\Brent Charlie\Brent Charlie Oil Export\6. General Information\Oil Export Totaliser Error\MR 2019\19.01.2019.xlsx","19.01.2019.xlsx")</f>
        <v>19.01.2019.xlsx</v>
      </c>
      <c r="C21" s="14">
        <v>568576.97405900003</v>
      </c>
      <c r="D21" s="14">
        <v>0</v>
      </c>
      <c r="E21" s="14">
        <v>556263.66272599995</v>
      </c>
      <c r="F21" s="14">
        <v>0</v>
      </c>
      <c r="G21" s="14">
        <v>450334.77543400001</v>
      </c>
      <c r="H21" s="14">
        <v>0</v>
      </c>
      <c r="I21" s="14"/>
      <c r="J21" s="14"/>
    </row>
    <row r="22" spans="1:10" x14ac:dyDescent="0.25">
      <c r="A22" s="7">
        <v>43485</v>
      </c>
      <c r="B22" s="8" t="str">
        <f>HYPERLINK("Y:\Brents\Brent Charlie\Brent Charlie Oil Export\6. General Information\Oil Export Totaliser Error\MR 2019\20.01.2019.xlsx","20.01.2019.xlsx")</f>
        <v>20.01.2019.xlsx</v>
      </c>
      <c r="C22" s="14">
        <v>568576.97405900003</v>
      </c>
      <c r="D22" s="14">
        <v>0</v>
      </c>
      <c r="E22" s="14">
        <v>556263.66272599995</v>
      </c>
      <c r="F22" s="14">
        <v>0</v>
      </c>
      <c r="G22" s="14">
        <v>450334.77543400001</v>
      </c>
      <c r="H22" s="14">
        <v>0</v>
      </c>
      <c r="I22" s="14"/>
      <c r="J22" s="14"/>
    </row>
    <row r="23" spans="1:10" x14ac:dyDescent="0.25">
      <c r="A23" s="7">
        <v>43486</v>
      </c>
      <c r="B23" s="8" t="str">
        <f>HYPERLINK("Y:\Brents\Brent Charlie\Brent Charlie Oil Export\6. General Information\Oil Export Totaliser Error\MR 2019\21.01.2019.xlsx","21.01.2019.xlsx")</f>
        <v>21.01.2019.xlsx</v>
      </c>
      <c r="C23" s="14">
        <v>568576.97405900003</v>
      </c>
      <c r="D23" s="14">
        <v>0</v>
      </c>
      <c r="E23" s="14">
        <v>556263.66272599995</v>
      </c>
      <c r="F23" s="14">
        <v>0</v>
      </c>
      <c r="G23" s="14">
        <v>450334.77543400001</v>
      </c>
      <c r="H23" s="14">
        <v>0</v>
      </c>
      <c r="I23" s="14"/>
      <c r="J23" s="14"/>
    </row>
    <row r="24" spans="1:10" x14ac:dyDescent="0.25">
      <c r="A24" s="7">
        <v>43487</v>
      </c>
      <c r="B24" s="8" t="str">
        <f>HYPERLINK("Y:\Brents\Brent Charlie\Brent Charlie Oil Export\6. General Information\Oil Export Totaliser Error\MR 2019\22.01.2019.xlsx","22.01.2019.xlsx")</f>
        <v>22.01.2019.xlsx</v>
      </c>
      <c r="C24" s="14">
        <v>568576.97405900003</v>
      </c>
      <c r="D24" s="14">
        <v>0</v>
      </c>
      <c r="E24" s="14">
        <v>556263.66272599995</v>
      </c>
      <c r="F24" s="14">
        <v>0</v>
      </c>
      <c r="G24" s="14">
        <v>450334.77543400001</v>
      </c>
      <c r="H24" s="14">
        <v>0</v>
      </c>
      <c r="I24" s="14"/>
      <c r="J24" s="14"/>
    </row>
    <row r="25" spans="1:10" x14ac:dyDescent="0.25">
      <c r="A25" s="7">
        <v>43488</v>
      </c>
      <c r="B25" s="8" t="str">
        <f>HYPERLINK("Y:\Brents\Brent Charlie\Brent Charlie Oil Export\6. General Information\Oil Export Totaliser Error\MR 2019\23.01.2019.xlsx","23.01.2019.xlsx")</f>
        <v>23.01.2019.xlsx</v>
      </c>
      <c r="C25" s="14">
        <v>568576.97405900003</v>
      </c>
      <c r="D25" s="14">
        <v>0</v>
      </c>
      <c r="E25" s="14">
        <v>556263.66272599995</v>
      </c>
      <c r="F25" s="14">
        <v>0</v>
      </c>
      <c r="G25" s="14">
        <v>450334.77543400001</v>
      </c>
      <c r="H25" s="14">
        <v>0</v>
      </c>
      <c r="I25" s="14"/>
      <c r="J25" s="14"/>
    </row>
    <row r="26" spans="1:10" x14ac:dyDescent="0.25">
      <c r="A26" s="7">
        <v>43489</v>
      </c>
      <c r="B26" s="8" t="str">
        <f>HYPERLINK("Y:\Brents\Brent Charlie\Brent Charlie Oil Export\6. General Information\Oil Export Totaliser Error\MR 2019\24.01.2019.xlsx","24.01.2019.xlsx")</f>
        <v>24.01.2019.xlsx</v>
      </c>
      <c r="C26" s="14">
        <v>568576.97405900003</v>
      </c>
      <c r="D26" s="14">
        <v>0</v>
      </c>
      <c r="E26" s="14">
        <v>556263.66272599995</v>
      </c>
      <c r="F26" s="14">
        <v>0</v>
      </c>
      <c r="G26" s="14">
        <v>450334.77543400001</v>
      </c>
      <c r="H26" s="14">
        <v>0</v>
      </c>
      <c r="I26" s="14"/>
      <c r="J26" s="14"/>
    </row>
    <row r="27" spans="1:10" x14ac:dyDescent="0.25">
      <c r="A27" s="7">
        <v>43490</v>
      </c>
      <c r="B27" s="8" t="str">
        <f>HYPERLINK("Y:\Brents\Brent Charlie\Brent Charlie Oil Export\6. General Information\Oil Export Totaliser Error\MR 2019\25.01.2019.xlsx","25.01.2019.xlsx")</f>
        <v>25.01.2019.xlsx</v>
      </c>
      <c r="C27" s="14">
        <v>568576.97405900003</v>
      </c>
      <c r="D27" s="14">
        <v>0</v>
      </c>
      <c r="E27" s="14">
        <v>556263.66272599995</v>
      </c>
      <c r="F27" s="14">
        <v>0</v>
      </c>
      <c r="G27" s="14">
        <v>450334.77543400001</v>
      </c>
      <c r="H27" s="14">
        <v>0</v>
      </c>
      <c r="I27" s="14"/>
      <c r="J27" s="14"/>
    </row>
    <row r="28" spans="1:10" x14ac:dyDescent="0.25">
      <c r="A28" s="7">
        <v>43491</v>
      </c>
      <c r="B28" s="8" t="str">
        <f>HYPERLINK("Y:\Brents\Brent Charlie\Brent Charlie Oil Export\6. General Information\Oil Export Totaliser Error\MR 2019\26.01.2019.xlsx","26.01.2019.xlsx")</f>
        <v>26.01.2019.xlsx</v>
      </c>
      <c r="C28" s="14">
        <v>568576.97405900003</v>
      </c>
      <c r="D28" s="14">
        <v>0</v>
      </c>
      <c r="E28" s="14">
        <v>556263.66272599995</v>
      </c>
      <c r="F28" s="14">
        <v>0</v>
      </c>
      <c r="G28" s="14">
        <v>450334.77543400001</v>
      </c>
      <c r="H28" s="14">
        <v>0</v>
      </c>
      <c r="I28" s="14"/>
      <c r="J28" s="14"/>
    </row>
    <row r="29" spans="1:10" x14ac:dyDescent="0.25">
      <c r="A29" s="7">
        <v>43492</v>
      </c>
      <c r="B29" s="8" t="str">
        <f>HYPERLINK("Y:\Brents\Brent Charlie\Brent Charlie Oil Export\6. General Information\Oil Export Totaliser Error\MR 2019\27.01.2019.xlsx","27.01.2019.xlsx")</f>
        <v>27.01.2019.xlsx</v>
      </c>
      <c r="C29" s="14">
        <v>568576.97405900003</v>
      </c>
      <c r="D29" s="14">
        <v>0</v>
      </c>
      <c r="E29" s="14">
        <v>556263.66272599995</v>
      </c>
      <c r="F29" s="14">
        <v>0</v>
      </c>
      <c r="G29" s="14">
        <v>450334.77543400001</v>
      </c>
      <c r="H29" s="14">
        <v>0</v>
      </c>
      <c r="I29" s="14"/>
      <c r="J29" s="14"/>
    </row>
    <row r="30" spans="1:10" x14ac:dyDescent="0.25">
      <c r="A30" s="7">
        <v>43493</v>
      </c>
      <c r="B30" s="8" t="str">
        <f>HYPERLINK("Y:\Brents\Brent Charlie\Brent Charlie Oil Export\6. General Information\Oil Export Totaliser Error\MR 2019\28.01.2019.xlsx","28.01.2019.xlsx")</f>
        <v>28.01.2019.xlsx</v>
      </c>
      <c r="C30" s="14">
        <v>568576.97405900003</v>
      </c>
      <c r="D30" s="14">
        <v>0</v>
      </c>
      <c r="E30" s="14">
        <v>556263.66272599995</v>
      </c>
      <c r="F30" s="14">
        <v>0</v>
      </c>
      <c r="G30" s="14">
        <v>450334.77543400001</v>
      </c>
      <c r="H30" s="14">
        <v>0</v>
      </c>
      <c r="I30" s="14"/>
      <c r="J30" s="14"/>
    </row>
    <row r="31" spans="1:10" x14ac:dyDescent="0.25">
      <c r="A31" s="7">
        <v>43494</v>
      </c>
      <c r="B31" s="8" t="str">
        <f>HYPERLINK("Y:\Brents\Brent Charlie\Brent Charlie Oil Export\6. General Information\Oil Export Totaliser Error\MR 2019\29.01.2019.xlsx","29.01.2019.xlsx")</f>
        <v>29.01.2019.xlsx</v>
      </c>
      <c r="C31" s="14">
        <v>568576.97405900003</v>
      </c>
      <c r="D31" s="14">
        <v>0</v>
      </c>
      <c r="E31" s="14">
        <v>556263.66272599995</v>
      </c>
      <c r="F31" s="14">
        <v>0</v>
      </c>
      <c r="G31" s="14">
        <v>450334.77543400001</v>
      </c>
      <c r="H31" s="14">
        <v>0</v>
      </c>
      <c r="I31" s="14"/>
      <c r="J31" s="14"/>
    </row>
    <row r="32" spans="1:10" x14ac:dyDescent="0.25">
      <c r="A32" s="7">
        <v>43495</v>
      </c>
      <c r="B32" s="8" t="str">
        <f>HYPERLINK("Y:\Brents\Brent Charlie\Brent Charlie Oil Export\6. General Information\Oil Export Totaliser Error\MR 2019\30.01.2019.xlsx","30.01.2019.xlsx")</f>
        <v>30.01.2019.xlsx</v>
      </c>
      <c r="C32" s="14">
        <v>568576.97405900003</v>
      </c>
      <c r="D32" s="14">
        <v>0</v>
      </c>
      <c r="E32" s="14">
        <v>556263.66272599995</v>
      </c>
      <c r="F32" s="14">
        <v>0</v>
      </c>
      <c r="G32" s="14">
        <v>450334.77543400001</v>
      </c>
      <c r="H32" s="14">
        <v>0</v>
      </c>
      <c r="I32" s="14"/>
      <c r="J32" s="14"/>
    </row>
    <row r="33" spans="1:10" x14ac:dyDescent="0.25">
      <c r="A33" s="7">
        <v>43496</v>
      </c>
      <c r="B33" s="8" t="str">
        <f>HYPERLINK("Y:\Brents\Brent Charlie\Brent Charlie Oil Export\6. General Information\Oil Export Totaliser Error\MR 2019\31.01.2019.xlsx","31.01.2019.xlsx")</f>
        <v>31.01.2019.xlsx</v>
      </c>
      <c r="C33" s="14">
        <v>568576.97405900003</v>
      </c>
      <c r="D33" s="14">
        <v>0</v>
      </c>
      <c r="E33" s="14">
        <v>556263.66272599995</v>
      </c>
      <c r="F33" s="14">
        <v>0</v>
      </c>
      <c r="G33" s="14">
        <v>450334.77543400001</v>
      </c>
      <c r="H33" s="14">
        <v>0</v>
      </c>
      <c r="I33" s="14"/>
      <c r="J33" s="14"/>
    </row>
    <row r="34" spans="1:10" x14ac:dyDescent="0.25">
      <c r="A34" s="7">
        <v>43497</v>
      </c>
      <c r="B34" s="8" t="str">
        <f>HYPERLINK("Y:\Brents\Brent Charlie\Brent Charlie Oil Export\6. General Information\Oil Export Totaliser Error\MR 2019\01.02.2019.xlsx","01.02.2019.xlsx")</f>
        <v>01.02.2019.xlsx</v>
      </c>
      <c r="C34" s="14">
        <v>568576.97405900003</v>
      </c>
      <c r="D34" s="14">
        <v>0</v>
      </c>
      <c r="E34" s="14">
        <v>556263.66272599995</v>
      </c>
      <c r="F34" s="14">
        <v>0</v>
      </c>
      <c r="G34" s="14">
        <v>450334.77543400001</v>
      </c>
      <c r="H34" s="14">
        <v>0</v>
      </c>
      <c r="I34" s="14"/>
      <c r="J34" s="14"/>
    </row>
    <row r="35" spans="1:10" x14ac:dyDescent="0.25">
      <c r="A35" s="7">
        <v>43498</v>
      </c>
      <c r="B35" s="8" t="str">
        <f>HYPERLINK("Y:\Brents\Brent Charlie\Brent Charlie Oil Export\6. General Information\Oil Export Totaliser Error\MR 2019\02.02.2019.xlsx","02.02.2019.xlsx")</f>
        <v>02.02.2019.xlsx</v>
      </c>
      <c r="C35" s="14">
        <v>570570.620398</v>
      </c>
      <c r="D35" s="14">
        <v>1993.646</v>
      </c>
      <c r="E35" s="14">
        <v>558236.63123900001</v>
      </c>
      <c r="F35" s="14">
        <v>1972.9690000000001</v>
      </c>
      <c r="G35" s="14">
        <v>451930.58596400003</v>
      </c>
      <c r="H35" s="14">
        <v>1595.8109999999999</v>
      </c>
      <c r="I35" s="14"/>
      <c r="J35" s="14"/>
    </row>
    <row r="36" spans="1:10" x14ac:dyDescent="0.25">
      <c r="A36" s="7">
        <v>43499</v>
      </c>
      <c r="B36" s="8" t="str">
        <f>HYPERLINK("Y:\Brents\Brent Charlie\Brent Charlie Oil Export\6. General Information\Oil Export Totaliser Error\MR 2019\03.02.2019.xlsx","03.02.2019.xlsx")</f>
        <v>03.02.2019.xlsx</v>
      </c>
      <c r="C36" s="14">
        <v>574993.25</v>
      </c>
      <c r="D36" s="14">
        <v>4422.6319999999996</v>
      </c>
      <c r="E36" s="14">
        <v>562613.05500000005</v>
      </c>
      <c r="F36" s="14">
        <v>4376.424</v>
      </c>
      <c r="G36" s="14">
        <v>455467.87</v>
      </c>
      <c r="H36" s="14">
        <v>3537.279</v>
      </c>
      <c r="I36" s="14"/>
      <c r="J36" s="14"/>
    </row>
    <row r="37" spans="1:10" x14ac:dyDescent="0.25">
      <c r="A37" s="7">
        <v>43500</v>
      </c>
      <c r="B37" s="8" t="str">
        <f>HYPERLINK("Y:\Brents\Brent Charlie\Brent Charlie Oil Export\6. General Information\Oil Export Totaliser Error\MR 2019\04.02.2019.xlsx","04.02.2019.xlsx")</f>
        <v>04.02.2019.xlsx</v>
      </c>
      <c r="C37" s="14">
        <v>574993.25</v>
      </c>
      <c r="D37" s="14">
        <v>0</v>
      </c>
      <c r="E37" s="14">
        <v>562613.05500000005</v>
      </c>
      <c r="F37" s="14">
        <v>0</v>
      </c>
      <c r="G37" s="14">
        <v>455467.87</v>
      </c>
      <c r="H37" s="14">
        <v>0</v>
      </c>
      <c r="I37" s="14"/>
      <c r="J37" s="14"/>
    </row>
    <row r="38" spans="1:10" x14ac:dyDescent="0.25">
      <c r="A38" s="7">
        <v>43501</v>
      </c>
      <c r="B38" s="8" t="str">
        <f>HYPERLINK("Y:\Brents\Brent Charlie\Brent Charlie Oil Export\6. General Information\Oil Export Totaliser Error\MR 2019\05.02.2019.xlsx","05.02.2019.xlsx")</f>
        <v>05.02.2019.xlsx</v>
      </c>
      <c r="C38" s="14">
        <v>574993.25</v>
      </c>
      <c r="D38" s="14">
        <v>0</v>
      </c>
      <c r="E38" s="14">
        <v>562613.05500000005</v>
      </c>
      <c r="F38" s="14">
        <v>0</v>
      </c>
      <c r="G38" s="14">
        <v>455467.87</v>
      </c>
      <c r="H38" s="14">
        <v>0</v>
      </c>
      <c r="I38" s="14"/>
      <c r="J38" s="14"/>
    </row>
    <row r="39" spans="1:10" x14ac:dyDescent="0.25">
      <c r="A39" s="7">
        <v>43502</v>
      </c>
      <c r="B39" s="8" t="str">
        <f>HYPERLINK("Y:\Brents\Brent Charlie\Brent Charlie Oil Export\6. General Information\Oil Export Totaliser Error\MR 2019\06.02.2019.xlsx","06.02.2019.xlsx")</f>
        <v>06.02.2019.xlsx</v>
      </c>
      <c r="C39" s="14">
        <v>574993.25</v>
      </c>
      <c r="D39" s="14">
        <v>0</v>
      </c>
      <c r="E39" s="14">
        <v>562613.05500000005</v>
      </c>
      <c r="F39" s="14">
        <v>0</v>
      </c>
      <c r="G39" s="14">
        <v>455467.87</v>
      </c>
      <c r="H39" s="14">
        <v>0</v>
      </c>
      <c r="I39" s="14"/>
      <c r="J39" s="14"/>
    </row>
    <row r="40" spans="1:10" x14ac:dyDescent="0.25">
      <c r="A40" s="7">
        <v>43503</v>
      </c>
      <c r="B40" s="8" t="str">
        <f>HYPERLINK("Y:\Brents\Brent Charlie\Brent Charlie Oil Export\6. General Information\Oil Export Totaliser Error\MR 2019\07.02.2019.xlsx","07.02.2019.xlsx")</f>
        <v>07.02.2019.xlsx</v>
      </c>
      <c r="C40" s="14">
        <v>574993.25</v>
      </c>
      <c r="D40" s="14">
        <v>0</v>
      </c>
      <c r="E40" s="14">
        <v>562613.05500000005</v>
      </c>
      <c r="F40" s="14">
        <v>0</v>
      </c>
      <c r="G40" s="14">
        <v>455467.87</v>
      </c>
      <c r="H40" s="14">
        <v>0</v>
      </c>
      <c r="I40" s="14"/>
      <c r="J40" s="14"/>
    </row>
    <row r="41" spans="1:10" x14ac:dyDescent="0.25">
      <c r="A41" s="7">
        <v>43504</v>
      </c>
      <c r="B41" s="8" t="str">
        <f>HYPERLINK("Y:\Brents\Brent Charlie\Brent Charlie Oil Export\6. General Information\Oil Export Totaliser Error\MR 2019\08.02.2019.xlsx","08.02.2019.xlsx")</f>
        <v>08.02.2019.xlsx</v>
      </c>
      <c r="C41" s="14">
        <v>574993.25</v>
      </c>
      <c r="D41" s="14">
        <v>0</v>
      </c>
      <c r="E41" s="14">
        <v>562613.05500000005</v>
      </c>
      <c r="F41" s="14">
        <v>0</v>
      </c>
      <c r="G41" s="14">
        <v>455467.87</v>
      </c>
      <c r="H41" s="14">
        <v>0</v>
      </c>
      <c r="I41" s="14"/>
      <c r="J41" s="14"/>
    </row>
    <row r="42" spans="1:10" x14ac:dyDescent="0.25">
      <c r="A42" s="7">
        <v>43505</v>
      </c>
      <c r="B42" s="8" t="str">
        <f>HYPERLINK("Y:\Brents\Brent Charlie\Brent Charlie Oil Export\6. General Information\Oil Export Totaliser Error\MR 2019\09.02.2019.xlsx","09.02.2019.xlsx")</f>
        <v>09.02.2019.xlsx</v>
      </c>
      <c r="C42" s="14">
        <v>579324.01</v>
      </c>
      <c r="D42" s="14">
        <v>4330.8360000000002</v>
      </c>
      <c r="E42" s="14">
        <v>566907.43999999994</v>
      </c>
      <c r="F42" s="14">
        <v>4294.3850000000002</v>
      </c>
      <c r="G42" s="14">
        <v>458939.76</v>
      </c>
      <c r="H42" s="14">
        <v>3471.9</v>
      </c>
      <c r="I42" s="14"/>
      <c r="J42" s="14"/>
    </row>
    <row r="43" spans="1:10" x14ac:dyDescent="0.25">
      <c r="A43" s="7">
        <v>43506</v>
      </c>
      <c r="B43" s="8" t="str">
        <f>HYPERLINK("Y:\Brents\Brent Charlie\Brent Charlie Oil Export\6. General Information\Oil Export Totaliser Error\MR 2019\10.02.2019.xlsx","10.02.2019.xlsx")</f>
        <v>10.02.2019.xlsx</v>
      </c>
      <c r="C43" s="14">
        <v>582378.68000000005</v>
      </c>
      <c r="D43" s="14">
        <v>3054.59</v>
      </c>
      <c r="E43" s="14">
        <v>569932.73</v>
      </c>
      <c r="F43" s="14">
        <v>3025.2919999999999</v>
      </c>
      <c r="G43" s="14">
        <v>461382.91</v>
      </c>
      <c r="H43" s="14">
        <v>2443.1439999999998</v>
      </c>
      <c r="I43" s="14"/>
      <c r="J43" s="14"/>
    </row>
    <row r="44" spans="1:10" x14ac:dyDescent="0.25">
      <c r="A44" s="7">
        <v>43507</v>
      </c>
      <c r="B44" s="8" t="str">
        <f>HYPERLINK("Y:\Brents\Brent Charlie\Brent Charlie Oil Export\6. General Information\Oil Export Totaliser Error\MR 2019\11.02.2019.xlsx","11.02.2019.xlsx")</f>
        <v>11.02.2019.xlsx</v>
      </c>
      <c r="C44" s="14">
        <v>591402.30200000003</v>
      </c>
      <c r="D44" s="14">
        <v>9023.6260000000002</v>
      </c>
      <c r="E44" s="14">
        <v>578820.61190000002</v>
      </c>
      <c r="F44" s="14">
        <v>8887.8799999999992</v>
      </c>
      <c r="G44" s="14">
        <v>468576.22899999999</v>
      </c>
      <c r="H44" s="14">
        <v>7193.3209999999999</v>
      </c>
      <c r="I44" s="14"/>
      <c r="J44" s="14"/>
    </row>
    <row r="45" spans="1:10" x14ac:dyDescent="0.25">
      <c r="A45" s="7">
        <v>43508</v>
      </c>
      <c r="B45" s="8" t="str">
        <f>HYPERLINK("Y:\Brents\Brent Charlie\Brent Charlie Oil Export\6. General Information\Oil Export Totaliser Error\MR 2019\12.02.2019.xlsx","12.02.2019.xlsx")</f>
        <v>12.02.2019.xlsx</v>
      </c>
      <c r="C45" s="14">
        <v>596719.71771300002</v>
      </c>
      <c r="D45" s="14">
        <v>5317.4160000000002</v>
      </c>
      <c r="E45" s="14">
        <v>584039.56799999997</v>
      </c>
      <c r="F45" s="14">
        <v>5218.9570000000003</v>
      </c>
      <c r="G45" s="14">
        <v>472816.13199999998</v>
      </c>
      <c r="H45" s="14">
        <v>4239.9030000000002</v>
      </c>
      <c r="I45" s="14"/>
      <c r="J45" s="14"/>
    </row>
    <row r="46" spans="1:10" x14ac:dyDescent="0.25">
      <c r="A46" s="7">
        <v>43509</v>
      </c>
      <c r="B46" s="8" t="str">
        <f>HYPERLINK("Y:\Brents\Brent Charlie\Brent Charlie Oil Export\6. General Information\Oil Export Totaliser Error\MR 2019\13.02.2019.xlsx","13.02.2019.xlsx")</f>
        <v>13.02.2019.xlsx</v>
      </c>
      <c r="C46" s="14">
        <v>596719.71771300002</v>
      </c>
      <c r="D46" s="14">
        <v>0</v>
      </c>
      <c r="E46" s="14">
        <v>584039.56799999997</v>
      </c>
      <c r="F46" s="14">
        <v>0</v>
      </c>
      <c r="G46" s="14">
        <v>472816.13199999998</v>
      </c>
      <c r="H46" s="14">
        <v>0</v>
      </c>
      <c r="I46" s="14"/>
      <c r="J46" s="14"/>
    </row>
    <row r="47" spans="1:10" x14ac:dyDescent="0.25">
      <c r="A47" s="7">
        <v>43510</v>
      </c>
      <c r="B47" s="8" t="str">
        <f>HYPERLINK("Y:\Brents\Brent Charlie\Brent Charlie Oil Export\6. General Information\Oil Export Totaliser Error\MR 2019\14.02.2019.xlsx","14.02.2019.xlsx")</f>
        <v>14.02.2019.xlsx</v>
      </c>
      <c r="C47" s="14">
        <v>596719.71771300002</v>
      </c>
      <c r="D47" s="14">
        <v>0</v>
      </c>
      <c r="E47" s="14">
        <v>584039.56799999997</v>
      </c>
      <c r="F47" s="14">
        <v>0</v>
      </c>
      <c r="G47" s="14">
        <v>472816.13199999998</v>
      </c>
      <c r="H47" s="14">
        <v>0</v>
      </c>
      <c r="I47" s="14"/>
      <c r="J47" s="14"/>
    </row>
    <row r="48" spans="1:10" x14ac:dyDescent="0.25">
      <c r="A48" s="7">
        <v>43511</v>
      </c>
      <c r="B48" s="8" t="str">
        <f>HYPERLINK("Y:\Brents\Brent Charlie\Brent Charlie Oil Export\6. General Information\Oil Export Totaliser Error\MR 2019\15.02.2019.xlsx","15.02.2019.xlsx")</f>
        <v>15.02.2019.xlsx</v>
      </c>
      <c r="C48" s="14">
        <v>596719.71771300002</v>
      </c>
      <c r="D48" s="14">
        <v>0</v>
      </c>
      <c r="E48" s="14">
        <v>584039.56799999997</v>
      </c>
      <c r="F48" s="14">
        <v>0</v>
      </c>
      <c r="G48" s="14">
        <v>472816.13199999998</v>
      </c>
      <c r="H48" s="14">
        <v>0</v>
      </c>
      <c r="I48" s="14"/>
      <c r="J48" s="14"/>
    </row>
    <row r="49" spans="1:10" x14ac:dyDescent="0.25">
      <c r="A49" s="7">
        <v>43512</v>
      </c>
      <c r="B49" s="8" t="str">
        <f>HYPERLINK("Y:\Brents\Brent Charlie\Brent Charlie Oil Export\6. General Information\Oil Export Totaliser Error\MR 2019\16.02.2019.xlsx","16.02.2019.xlsx")</f>
        <v>16.02.2019.xlsx</v>
      </c>
      <c r="C49" s="14">
        <v>596719.71771300002</v>
      </c>
      <c r="D49" s="14">
        <v>0</v>
      </c>
      <c r="E49" s="14">
        <v>584039.56799999997</v>
      </c>
      <c r="F49" s="14">
        <v>0</v>
      </c>
      <c r="G49" s="14">
        <v>472816.13199999998</v>
      </c>
      <c r="H49" s="14">
        <v>0</v>
      </c>
      <c r="I49" s="14"/>
      <c r="J49" s="14"/>
    </row>
    <row r="50" spans="1:10" x14ac:dyDescent="0.25">
      <c r="A50" s="7">
        <v>43513</v>
      </c>
      <c r="B50" s="8" t="str">
        <f>HYPERLINK("Y:\Brents\Brent Charlie\Brent Charlie Oil Export\6. General Information\Oil Export Totaliser Error\MR 2019\17.02.2019.xlsx","17.02.2019.xlsx")</f>
        <v>17.02.2019.xlsx</v>
      </c>
      <c r="C50" s="14">
        <v>596719.71771300002</v>
      </c>
      <c r="D50" s="14">
        <v>0</v>
      </c>
      <c r="E50" s="14">
        <v>584039.56799999997</v>
      </c>
      <c r="F50" s="14">
        <v>0</v>
      </c>
      <c r="G50" s="14">
        <v>472816.13199999998</v>
      </c>
      <c r="H50" s="14">
        <v>0</v>
      </c>
      <c r="I50" s="14"/>
      <c r="J50" s="14"/>
    </row>
    <row r="51" spans="1:10" x14ac:dyDescent="0.25">
      <c r="A51" s="7">
        <v>43514</v>
      </c>
      <c r="B51" s="8" t="str">
        <f>HYPERLINK("Y:\Brents\Brent Charlie\Brent Charlie Oil Export\6. General Information\Oil Export Totaliser Error\MR 2019\18.02.2019.xlsx","18.02.2019.xlsx")</f>
        <v>18.02.2019.xlsx</v>
      </c>
      <c r="C51" s="14">
        <v>596719.71771300002</v>
      </c>
      <c r="D51" s="14">
        <v>0</v>
      </c>
      <c r="E51" s="14">
        <v>584039.56799999997</v>
      </c>
      <c r="F51" s="14">
        <v>0</v>
      </c>
      <c r="G51" s="14">
        <v>472816.13199999998</v>
      </c>
      <c r="H51" s="14">
        <v>0</v>
      </c>
      <c r="I51" s="14"/>
      <c r="J51" s="14"/>
    </row>
    <row r="52" spans="1:10" x14ac:dyDescent="0.25">
      <c r="A52" s="7">
        <v>43515</v>
      </c>
      <c r="B52" s="8" t="str">
        <f>HYPERLINK("Y:\Brents\Brent Charlie\Brent Charlie Oil Export\6. General Information\Oil Export Totaliser Error\MR 2019\19.02.2019.xlsx","19.02.2019.xlsx")</f>
        <v>19.02.2019.xlsx</v>
      </c>
      <c r="C52" s="14">
        <v>596719.71771300002</v>
      </c>
      <c r="D52" s="14">
        <v>0</v>
      </c>
      <c r="E52" s="14">
        <v>584039.56799999997</v>
      </c>
      <c r="F52" s="14">
        <v>0</v>
      </c>
      <c r="G52" s="14">
        <v>472816.13199999998</v>
      </c>
      <c r="H52" s="14">
        <v>0</v>
      </c>
      <c r="I52" s="14"/>
      <c r="J52" s="14"/>
    </row>
    <row r="53" spans="1:10" x14ac:dyDescent="0.25">
      <c r="A53" s="7">
        <v>43516</v>
      </c>
      <c r="B53" s="8" t="str">
        <f>HYPERLINK("Y:\Brents\Brent Charlie\Brent Charlie Oil Export\6. General Information\Oil Export Totaliser Error\MR 2019\20.02.2019.xlsx","20.02.2019.xlsx")</f>
        <v>20.02.2019.xlsx</v>
      </c>
      <c r="C53" s="14">
        <v>596719.71771300002</v>
      </c>
      <c r="D53" s="14">
        <v>0</v>
      </c>
      <c r="E53" s="14">
        <v>584039.56799999997</v>
      </c>
      <c r="F53" s="14">
        <v>0</v>
      </c>
      <c r="G53" s="14">
        <v>472816.13199999998</v>
      </c>
      <c r="H53" s="14">
        <v>0</v>
      </c>
      <c r="I53" s="14"/>
      <c r="J53" s="14"/>
    </row>
    <row r="54" spans="1:10" x14ac:dyDescent="0.25">
      <c r="A54" s="7">
        <v>43517</v>
      </c>
      <c r="B54" s="8" t="str">
        <f>HYPERLINK("Y:\Brents\Brent Charlie\Brent Charlie Oil Export\6. General Information\Oil Export Totaliser Error\MR 2019\21.02.2019.xlsx","21.02.2019.xlsx")</f>
        <v>21.02.2019.xlsx</v>
      </c>
      <c r="C54" s="14">
        <v>596719.71771300002</v>
      </c>
      <c r="D54" s="14">
        <v>0</v>
      </c>
      <c r="E54" s="14">
        <v>584039.56799999997</v>
      </c>
      <c r="F54" s="14">
        <v>0</v>
      </c>
      <c r="G54" s="14">
        <v>472816.13199999998</v>
      </c>
      <c r="H54" s="14">
        <v>0</v>
      </c>
      <c r="I54" s="14"/>
      <c r="J54" s="14"/>
    </row>
    <row r="55" spans="1:10" x14ac:dyDescent="0.25">
      <c r="A55" s="7">
        <v>43518</v>
      </c>
      <c r="B55" s="8" t="str">
        <f>HYPERLINK("Y:\Brents\Brent Charlie\Brent Charlie Oil Export\6. General Information\Oil Export Totaliser Error\MR 2019\22.02.2019.xlsx","22.02.2019.xlsx")</f>
        <v>22.02.2019.xlsx</v>
      </c>
      <c r="C55" s="14">
        <v>596719.71771300002</v>
      </c>
      <c r="D55" s="14">
        <v>0</v>
      </c>
      <c r="E55" s="14">
        <v>584039.56799999997</v>
      </c>
      <c r="F55" s="14">
        <v>0</v>
      </c>
      <c r="G55" s="14">
        <v>472816.13199999998</v>
      </c>
      <c r="H55" s="14">
        <v>0</v>
      </c>
      <c r="I55" s="14"/>
      <c r="J55" s="14"/>
    </row>
    <row r="56" spans="1:10" x14ac:dyDescent="0.25">
      <c r="A56" s="7">
        <v>43519</v>
      </c>
      <c r="B56" s="8" t="str">
        <f>HYPERLINK("Y:\Brents\Brent Charlie\Brent Charlie Oil Export\6. General Information\Oil Export Totaliser Error\MR 2019\23.02.2019.xlsx","23.02.2019.xlsx")</f>
        <v>23.02.2019.xlsx</v>
      </c>
      <c r="C56" s="14">
        <v>596719.71771300002</v>
      </c>
      <c r="D56" s="14">
        <v>0</v>
      </c>
      <c r="E56" s="14">
        <v>584039.56799999997</v>
      </c>
      <c r="F56" s="14">
        <v>0</v>
      </c>
      <c r="G56" s="14">
        <v>472816.13199999998</v>
      </c>
      <c r="H56" s="14">
        <v>0</v>
      </c>
      <c r="I56" s="14"/>
      <c r="J56" s="14"/>
    </row>
    <row r="57" spans="1:10" x14ac:dyDescent="0.25">
      <c r="A57" s="7">
        <v>43520</v>
      </c>
      <c r="B57" s="8" t="str">
        <f>HYPERLINK("Y:\Brents\Brent Charlie\Brent Charlie Oil Export\6. General Information\Oil Export Totaliser Error\MR 2019\24.02.2019.xlsx","24.02.2019.xlsx")</f>
        <v>24.02.2019.xlsx</v>
      </c>
      <c r="C57" s="14">
        <v>596719.71771300002</v>
      </c>
      <c r="D57" s="14">
        <v>0</v>
      </c>
      <c r="E57" s="14">
        <v>584039.56799999997</v>
      </c>
      <c r="F57" s="14">
        <v>0</v>
      </c>
      <c r="G57" s="14">
        <v>472816.13199999998</v>
      </c>
      <c r="H57" s="14">
        <v>0</v>
      </c>
      <c r="I57" s="14"/>
      <c r="J57" s="14"/>
    </row>
    <row r="58" spans="1:10" x14ac:dyDescent="0.25">
      <c r="A58" s="7">
        <v>43521</v>
      </c>
      <c r="B58" s="8" t="str">
        <f>HYPERLINK("Y:\Brents\Brent Charlie\Brent Charlie Oil Export\6. General Information\Oil Export Totaliser Error\MR 2019\25.02.2019.xlsx","25.02.2019.xlsx")</f>
        <v>25.02.2019.xlsx</v>
      </c>
      <c r="C58" s="14">
        <v>596719.71771300002</v>
      </c>
      <c r="D58" s="14">
        <v>0</v>
      </c>
      <c r="E58" s="14">
        <v>584039.56799999997</v>
      </c>
      <c r="F58" s="14">
        <v>0</v>
      </c>
      <c r="G58" s="14">
        <v>472816.13199999998</v>
      </c>
      <c r="H58" s="14">
        <v>0</v>
      </c>
      <c r="I58" s="14"/>
      <c r="J58" s="14"/>
    </row>
    <row r="59" spans="1:10" x14ac:dyDescent="0.25">
      <c r="A59" s="7">
        <v>43522</v>
      </c>
      <c r="B59" s="8" t="str">
        <f>HYPERLINK("Y:\Brents\Brent Charlie\Brent Charlie Oil Export\6. General Information\Oil Export Totaliser Error\MR 2019\26.02.2019.xlsx","26.02.2019.xlsx")</f>
        <v>26.02.2019.xlsx</v>
      </c>
      <c r="C59" s="14">
        <v>596719.71771300002</v>
      </c>
      <c r="D59" s="14">
        <v>0</v>
      </c>
      <c r="E59" s="14">
        <v>584039.56799999997</v>
      </c>
      <c r="F59" s="14">
        <v>0</v>
      </c>
      <c r="G59" s="14">
        <v>472816.13199999998</v>
      </c>
      <c r="H59" s="14">
        <v>0</v>
      </c>
      <c r="I59" s="14"/>
      <c r="J59" s="14"/>
    </row>
    <row r="60" spans="1:10" x14ac:dyDescent="0.25">
      <c r="A60" s="7">
        <v>43523</v>
      </c>
      <c r="B60" s="8" t="str">
        <f>HYPERLINK("Y:\Brents\Brent Charlie\Brent Charlie Oil Export\6. General Information\Oil Export Totaliser Error\MR 2019\27.02.2019.xlsx","27.02.2019.xlsx")</f>
        <v>27.02.2019.xlsx</v>
      </c>
      <c r="C60" s="14">
        <v>596719.71771300002</v>
      </c>
      <c r="D60" s="14">
        <v>0</v>
      </c>
      <c r="E60" s="14">
        <v>584039.56799999997</v>
      </c>
      <c r="F60" s="14">
        <v>0</v>
      </c>
      <c r="G60" s="14">
        <v>472816.13199999998</v>
      </c>
      <c r="H60" s="14">
        <v>0</v>
      </c>
      <c r="I60" s="14"/>
      <c r="J60" s="14"/>
    </row>
    <row r="61" spans="1:10" x14ac:dyDescent="0.25">
      <c r="A61" s="7">
        <v>43524</v>
      </c>
      <c r="B61" s="8" t="str">
        <f>HYPERLINK("Y:\Brents\Brent Charlie\Brent Charlie Oil Export\6. General Information\Oil Export Totaliser Error\MR 2019\28.02.2019.xlsx","28.02.2019.xlsx")</f>
        <v>28.02.2019.xlsx</v>
      </c>
      <c r="C61" s="14">
        <v>596719.71771300002</v>
      </c>
      <c r="D61" s="14">
        <v>0</v>
      </c>
      <c r="E61" s="14">
        <v>584039.56799999997</v>
      </c>
      <c r="F61" s="14">
        <v>0</v>
      </c>
      <c r="G61" s="14">
        <v>472816.13199999998</v>
      </c>
      <c r="H61" s="14">
        <v>0</v>
      </c>
      <c r="I61" s="14"/>
      <c r="J61" s="14"/>
    </row>
    <row r="62" spans="1:10" x14ac:dyDescent="0.25">
      <c r="A62" s="7">
        <v>43525</v>
      </c>
      <c r="B62" s="8" t="str">
        <f>HYPERLINK("Y:\Brents\Brent Charlie\Brent Charlie Oil Export\6. General Information\Oil Export Totaliser Error\MR 2019\01.03.2019.xlsx","01.03.2019.xlsx")</f>
        <v>01.03.2019.xlsx</v>
      </c>
      <c r="C62" s="14">
        <v>600588.32680599997</v>
      </c>
      <c r="D62" s="14">
        <v>3868.6089999999999</v>
      </c>
      <c r="E62" s="14">
        <v>587827.75474700006</v>
      </c>
      <c r="F62" s="14">
        <v>3788.1860000000001</v>
      </c>
      <c r="G62" s="14">
        <v>475899.67802699999</v>
      </c>
      <c r="H62" s="14">
        <v>3083.5459999999998</v>
      </c>
      <c r="I62" s="14"/>
      <c r="J62" s="14"/>
    </row>
    <row r="63" spans="1:10" x14ac:dyDescent="0.25">
      <c r="A63" s="7">
        <v>43526</v>
      </c>
      <c r="B63" s="8" t="str">
        <f>HYPERLINK("Y:\Brents\Brent Charlie\Brent Charlie Oil Export\6. General Information\Oil Export Totaliser Error\MR 2019\02.03.2019.xlsx","02.03.2019.xlsx")</f>
        <v>02.03.2019.xlsx</v>
      </c>
      <c r="C63" s="14">
        <v>600588.32680599997</v>
      </c>
      <c r="D63" s="14">
        <v>0</v>
      </c>
      <c r="E63" s="14">
        <v>587827.75474700006</v>
      </c>
      <c r="F63" s="14">
        <v>0</v>
      </c>
      <c r="G63" s="14">
        <v>475899.67802699999</v>
      </c>
      <c r="H63" s="14">
        <v>0</v>
      </c>
      <c r="I63" s="14"/>
      <c r="J63" s="14"/>
    </row>
    <row r="64" spans="1:10" x14ac:dyDescent="0.25">
      <c r="A64" s="7">
        <v>43527</v>
      </c>
      <c r="B64" s="8" t="str">
        <f>HYPERLINK("Y:\Brents\Brent Charlie\Brent Charlie Oil Export\6. General Information\Oil Export Totaliser Error\MR 2019\03.03.2019.xlsx","03.03.2019.xlsx")</f>
        <v>03.03.2019.xlsx</v>
      </c>
      <c r="C64" s="14">
        <v>600588.32680599997</v>
      </c>
      <c r="D64" s="14">
        <v>0</v>
      </c>
      <c r="E64" s="14">
        <v>587827.75474700006</v>
      </c>
      <c r="F64" s="14">
        <v>0</v>
      </c>
      <c r="G64" s="14">
        <v>475899.67802699999</v>
      </c>
      <c r="H64" s="14"/>
      <c r="I64" s="14"/>
      <c r="J64" s="14"/>
    </row>
    <row r="65" spans="1:10" x14ac:dyDescent="0.25">
      <c r="A65" s="7">
        <v>43528</v>
      </c>
      <c r="B65" s="8" t="str">
        <f>HYPERLINK("Y:\Brents\Brent Charlie\Brent Charlie Oil Export\6. General Information\Oil Export Totaliser Error\MR 2019\04.03.2019.xlsx","04.03.2019.xlsx")</f>
        <v>04.03.2019.xlsx</v>
      </c>
      <c r="C65" s="14">
        <v>600588.32680599997</v>
      </c>
      <c r="D65" s="14">
        <v>0</v>
      </c>
      <c r="E65" s="14">
        <v>587827.75474700006</v>
      </c>
      <c r="F65" s="14">
        <v>0</v>
      </c>
      <c r="G65" s="14">
        <v>475899.67802699999</v>
      </c>
      <c r="H65" s="14"/>
      <c r="I65" s="14"/>
      <c r="J65" s="14"/>
    </row>
    <row r="66" spans="1:10" x14ac:dyDescent="0.25">
      <c r="A66" s="7">
        <v>43529</v>
      </c>
      <c r="B66" s="8" t="str">
        <f>HYPERLINK("Y:\Brents\Brent Charlie\Brent Charlie Oil Export\6. General Information\Oil Export Totaliser Error\MR 2019\05.03.2019.xlsx","05.03.2019.xlsx")</f>
        <v>05.03.2019.xlsx</v>
      </c>
      <c r="C66" s="14">
        <v>610782.12705200003</v>
      </c>
      <c r="D66" s="14">
        <v>10193.799999999999</v>
      </c>
      <c r="E66" s="14">
        <v>597810.77500999998</v>
      </c>
      <c r="F66" s="14">
        <v>9983.0210000000006</v>
      </c>
      <c r="G66" s="14">
        <v>484051.45522900001</v>
      </c>
      <c r="H66" s="14">
        <v>8151.77</v>
      </c>
      <c r="I66" s="14"/>
      <c r="J66" s="14"/>
    </row>
    <row r="67" spans="1:10" x14ac:dyDescent="0.25">
      <c r="A67" s="7">
        <v>43530</v>
      </c>
      <c r="B67" s="8" t="str">
        <f>HYPERLINK("Y:\Brents\Brent Charlie\Brent Charlie Oil Export\6. General Information\Oil Export Totaliser Error\MR 2019\06.03.2019.xlsx","06.03.2019.xlsx")</f>
        <v>06.03.2019.xlsx</v>
      </c>
      <c r="C67" s="14">
        <v>610782.12705200003</v>
      </c>
      <c r="D67" s="14">
        <v>0</v>
      </c>
      <c r="E67" s="14">
        <v>597810.77500999998</v>
      </c>
      <c r="F67" s="14">
        <v>0</v>
      </c>
      <c r="G67" s="14">
        <v>484051.45522900001</v>
      </c>
      <c r="H67" s="14">
        <v>0</v>
      </c>
      <c r="I67" s="14"/>
      <c r="J67" s="14"/>
    </row>
    <row r="68" spans="1:10" x14ac:dyDescent="0.25">
      <c r="A68" s="7">
        <v>43531</v>
      </c>
      <c r="B68" s="8" t="str">
        <f>HYPERLINK("Y:\Brents\Brent Charlie\Brent Charlie Oil Export\6. General Information\Oil Export Totaliser Error\MR 2019\07.03.2019.xlsx","07.03.2019.xlsx")</f>
        <v>07.03.2019.xlsx</v>
      </c>
      <c r="C68" s="14">
        <v>610782.12705200003</v>
      </c>
      <c r="D68" s="14">
        <v>0</v>
      </c>
      <c r="E68" s="14">
        <v>597810.77500999998</v>
      </c>
      <c r="F68" s="14">
        <v>0</v>
      </c>
      <c r="G68" s="14">
        <v>484051.45522900001</v>
      </c>
      <c r="H68" s="14">
        <v>0</v>
      </c>
      <c r="I68" s="14"/>
      <c r="J68" s="14"/>
    </row>
    <row r="69" spans="1:10" x14ac:dyDescent="0.25">
      <c r="A69" s="7">
        <v>43532</v>
      </c>
      <c r="B69" s="8" t="str">
        <f>HYPERLINK("Y:\Brents\Brent Charlie\Brent Charlie Oil Export\6. General Information\Oil Export Totaliser Error\MR 2019\08.03.2019.xlsx","08.03.2019.xlsx")</f>
        <v>08.03.2019.xlsx</v>
      </c>
      <c r="C69" s="14">
        <v>610782.12705200003</v>
      </c>
      <c r="D69" s="14">
        <v>0</v>
      </c>
      <c r="E69" s="14">
        <v>597810.77500999998</v>
      </c>
      <c r="F69" s="14">
        <v>0</v>
      </c>
      <c r="G69" s="14">
        <v>484051.45522900001</v>
      </c>
      <c r="H69" s="14">
        <v>0</v>
      </c>
      <c r="I69" s="14"/>
      <c r="J69" s="14"/>
    </row>
    <row r="70" spans="1:10" x14ac:dyDescent="0.25">
      <c r="A70" s="7">
        <v>43533</v>
      </c>
      <c r="B70" s="8" t="str">
        <f>HYPERLINK("Y:\Brents\Brent Charlie\Brent Charlie Oil Export\6. General Information\Oil Export Totaliser Error\MR 2019\09.03.2019.xlsx","09.03.2019.xlsx")</f>
        <v>09.03.2019.xlsx</v>
      </c>
      <c r="C70" s="14">
        <v>615623.01717999997</v>
      </c>
      <c r="D70" s="14">
        <v>4840.8900000000003</v>
      </c>
      <c r="E70" s="14">
        <v>602553.03722099995</v>
      </c>
      <c r="F70" s="14">
        <v>4742.2619999999997</v>
      </c>
      <c r="G70" s="14">
        <v>487920.31213699997</v>
      </c>
      <c r="H70" s="14">
        <v>3868.857</v>
      </c>
      <c r="I70" s="14"/>
      <c r="J70" s="14"/>
    </row>
    <row r="71" spans="1:10" x14ac:dyDescent="0.25">
      <c r="A71" s="7">
        <v>43534</v>
      </c>
      <c r="B71" s="8" t="str">
        <f>HYPERLINK("Y:\Brents\Brent Charlie\Brent Charlie Oil Export\6. General Information\Oil Export Totaliser Error\MR 2019\10.03.2019.xlsx","10.03.2019.xlsx")</f>
        <v>10.03.2019.xlsx</v>
      </c>
      <c r="C71" s="14">
        <v>615623.01717999997</v>
      </c>
      <c r="D71" s="14">
        <v>0</v>
      </c>
      <c r="E71" s="14">
        <v>602553.03722099995</v>
      </c>
      <c r="F71" s="14">
        <v>0</v>
      </c>
      <c r="G71" s="14">
        <v>487920.31213699997</v>
      </c>
      <c r="H71" s="14">
        <v>0</v>
      </c>
      <c r="I71" s="14"/>
      <c r="J71" s="14"/>
    </row>
    <row r="72" spans="1:10" x14ac:dyDescent="0.25">
      <c r="A72" s="7">
        <v>43535</v>
      </c>
      <c r="B72" s="8" t="str">
        <f>HYPERLINK("Y:\Brents\Brent Charlie\Brent Charlie Oil Export\6. General Information\Oil Export Totaliser Error\MR 2019\11.03.2019.xlsx","11.03.2019.xlsx")</f>
        <v>11.03.2019.xlsx</v>
      </c>
      <c r="C72" s="14">
        <v>615623.01717999997</v>
      </c>
      <c r="D72" s="14">
        <v>0</v>
      </c>
      <c r="E72" s="14">
        <v>602553.03722099995</v>
      </c>
      <c r="F72" s="14">
        <v>0</v>
      </c>
      <c r="G72" s="14">
        <v>487920.31213699997</v>
      </c>
      <c r="H72" s="14">
        <v>0</v>
      </c>
      <c r="I72" s="14"/>
      <c r="J72" s="14"/>
    </row>
    <row r="73" spans="1:10" x14ac:dyDescent="0.25">
      <c r="A73" s="7">
        <v>43536</v>
      </c>
      <c r="B73" s="8" t="str">
        <f>HYPERLINK("Y:\Brents\Brent Charlie\Brent Charlie Oil Export\6. General Information\Oil Export Totaliser Error\MR 2019\12.03.2019.xlsx","12.03.2019.xlsx")</f>
        <v>12.03.2019.xlsx</v>
      </c>
      <c r="C73" s="14">
        <v>619628.34120100003</v>
      </c>
      <c r="D73" s="14">
        <v>4005.3240000000001</v>
      </c>
      <c r="E73" s="14">
        <v>606472.04581599997</v>
      </c>
      <c r="F73" s="14">
        <v>3919.009</v>
      </c>
      <c r="G73" s="14">
        <v>491121.48132600001</v>
      </c>
      <c r="H73" s="14">
        <v>3201.1689999999999</v>
      </c>
      <c r="I73" s="14"/>
      <c r="J73" s="14"/>
    </row>
    <row r="74" spans="1:10" x14ac:dyDescent="0.25">
      <c r="A74" s="7">
        <v>43537</v>
      </c>
      <c r="B74" s="8" t="str">
        <f>HYPERLINK("Y:\Brents\Brent Charlie\Brent Charlie Oil Export\6. General Information\Oil Export Totaliser Error\MR 2019\13.03.2019.xlsx","13.03.2019.xlsx")</f>
        <v>13.03.2019.xlsx</v>
      </c>
      <c r="C74" s="14">
        <v>619628.34120100003</v>
      </c>
      <c r="D74" s="14">
        <v>0</v>
      </c>
      <c r="E74" s="14">
        <v>606472.04581599997</v>
      </c>
      <c r="F74" s="14">
        <v>0</v>
      </c>
      <c r="G74" s="14">
        <v>491121.48132600001</v>
      </c>
      <c r="H74" s="14">
        <v>0</v>
      </c>
      <c r="I74" s="14"/>
      <c r="J74" s="14"/>
    </row>
    <row r="75" spans="1:10" x14ac:dyDescent="0.25">
      <c r="A75" s="7">
        <v>43538</v>
      </c>
      <c r="B75" s="8" t="str">
        <f>HYPERLINK("Y:\Brents\Brent Charlie\Brent Charlie Oil Export\6. General Information\Oil Export Totaliser Error\MR 2019\14.03.2019.xlsx","14.03.2019.xlsx")</f>
        <v>14.03.2019.xlsx</v>
      </c>
      <c r="C75" s="14">
        <v>619628.34120100003</v>
      </c>
      <c r="D75" s="14">
        <v>0</v>
      </c>
      <c r="E75" s="14">
        <v>606472.04581599997</v>
      </c>
      <c r="F75" s="14">
        <v>0</v>
      </c>
      <c r="G75" s="14">
        <v>491121.48132600001</v>
      </c>
      <c r="H75" s="14">
        <v>0</v>
      </c>
      <c r="I75" s="14"/>
      <c r="J75" s="14"/>
    </row>
    <row r="76" spans="1:10" x14ac:dyDescent="0.25">
      <c r="A76" s="7">
        <v>43539</v>
      </c>
      <c r="B76" s="8" t="str">
        <f>HYPERLINK("Y:\Brents\Brent Charlie\Brent Charlie Oil Export\6. General Information\Oil Export Totaliser Error\MR 2019\15.03.2019.xlsx","15.03.2019.xlsx")</f>
        <v>15.03.2019.xlsx</v>
      </c>
      <c r="C76" s="14">
        <v>622909.74600000004</v>
      </c>
      <c r="D76" s="14">
        <v>3281.4050000000002</v>
      </c>
      <c r="E76" s="14">
        <v>609680.14199999999</v>
      </c>
      <c r="F76" s="14">
        <v>3208.0970000000002</v>
      </c>
      <c r="G76" s="14">
        <v>493743.40500000003</v>
      </c>
      <c r="H76" s="14">
        <v>2621.924</v>
      </c>
      <c r="I76" s="14"/>
      <c r="J76" s="14"/>
    </row>
    <row r="77" spans="1:10" x14ac:dyDescent="0.25">
      <c r="A77" s="7">
        <v>43540</v>
      </c>
      <c r="B77" s="8" t="str">
        <f>HYPERLINK("Y:\Brents\Brent Charlie\Brent Charlie Oil Export\6. General Information\Oil Export Totaliser Error\MR 2019\16.03.2019.xlsx","16.03.2019.xlsx")</f>
        <v>16.03.2019.xlsx</v>
      </c>
      <c r="C77" s="14">
        <v>622909.74600000004</v>
      </c>
      <c r="D77" s="14">
        <v>0</v>
      </c>
      <c r="E77" s="14">
        <v>609680.14199999999</v>
      </c>
      <c r="F77" s="14">
        <v>0</v>
      </c>
      <c r="G77" s="14">
        <v>493743.40500000003</v>
      </c>
      <c r="H77" s="14">
        <v>0</v>
      </c>
      <c r="I77" s="14"/>
      <c r="J77" s="14"/>
    </row>
    <row r="78" spans="1:10" x14ac:dyDescent="0.25">
      <c r="A78" s="7">
        <v>43541</v>
      </c>
      <c r="B78" s="8" t="str">
        <f>HYPERLINK("Y:\Brents\Brent Charlie\Brent Charlie Oil Export\6. General Information\Oil Export Totaliser Error\MR 2019\17.03.2019.xlsx","17.03.2019.xlsx")</f>
        <v>17.03.2019.xlsx</v>
      </c>
      <c r="C78" s="14">
        <v>622909.74600000004</v>
      </c>
      <c r="D78" s="14">
        <v>0</v>
      </c>
      <c r="E78" s="14">
        <v>609680.14199999999</v>
      </c>
      <c r="F78" s="14">
        <v>0</v>
      </c>
      <c r="G78" s="14">
        <v>493743.40500000003</v>
      </c>
      <c r="H78" s="14">
        <v>0</v>
      </c>
      <c r="I78" s="14"/>
      <c r="J78" s="14"/>
    </row>
    <row r="79" spans="1:10" x14ac:dyDescent="0.25">
      <c r="A79" s="7">
        <v>43542</v>
      </c>
      <c r="B79" s="8" t="str">
        <f>HYPERLINK("Y:\Brents\Brent Charlie\Brent Charlie Oil Export\6. General Information\Oil Export Totaliser Error\MR 2019\18.03.2019.xlsx","18.03.2019.xlsx")</f>
        <v>18.03.2019.xlsx</v>
      </c>
      <c r="C79" s="14">
        <v>627448.75989999995</v>
      </c>
      <c r="D79" s="14">
        <v>4539.0079999999998</v>
      </c>
      <c r="E79" s="14">
        <v>614122.53460000001</v>
      </c>
      <c r="F79" s="14">
        <v>4442.3869999999997</v>
      </c>
      <c r="G79" s="14">
        <v>497365.35110000003</v>
      </c>
      <c r="H79" s="14">
        <v>3621.9409999999998</v>
      </c>
      <c r="I79" s="14"/>
      <c r="J79" s="14"/>
    </row>
    <row r="80" spans="1:10" x14ac:dyDescent="0.25">
      <c r="A80" s="7">
        <v>43543</v>
      </c>
      <c r="B80" s="8" t="str">
        <f>HYPERLINK("Y:\Brents\Brent Charlie\Brent Charlie Oil Export\6. General Information\Oil Export Totaliser Error\MR 2019\19.03.2019.xlsx","19.03.2019.xlsx")</f>
        <v>19.03.2019.xlsx</v>
      </c>
      <c r="C80" s="14">
        <v>636008.43000000005</v>
      </c>
      <c r="D80" s="14">
        <v>8559.6710000000003</v>
      </c>
      <c r="E80" s="14">
        <v>622497.27300000004</v>
      </c>
      <c r="F80" s="14">
        <v>8374.7389999999996</v>
      </c>
      <c r="G80" s="14">
        <v>504190.88699999999</v>
      </c>
      <c r="H80" s="14">
        <v>6825.5360000000001</v>
      </c>
      <c r="I80" s="14"/>
      <c r="J80" s="14"/>
    </row>
    <row r="81" spans="1:10" x14ac:dyDescent="0.25">
      <c r="A81" s="7">
        <v>43544</v>
      </c>
      <c r="B81" s="8" t="str">
        <f>HYPERLINK("Y:\Brents\Brent Charlie\Brent Charlie Oil Export\6. General Information\Oil Export Totaliser Error\MR 2019\20.03.2019.xlsx","20.03.2019.xlsx")</f>
        <v>20.03.2019.xlsx</v>
      </c>
      <c r="C81" s="14">
        <v>636008.43000000005</v>
      </c>
      <c r="D81" s="14">
        <v>0</v>
      </c>
      <c r="E81" s="14">
        <v>622497.27300000004</v>
      </c>
      <c r="F81" s="14">
        <v>0</v>
      </c>
      <c r="G81" s="14">
        <v>504190.88699999999</v>
      </c>
      <c r="H81" s="14">
        <v>0</v>
      </c>
      <c r="I81" s="14"/>
      <c r="J81" s="14"/>
    </row>
    <row r="82" spans="1:10" x14ac:dyDescent="0.25">
      <c r="A82" s="7">
        <v>43545</v>
      </c>
      <c r="B82" s="8" t="str">
        <f>HYPERLINK("Y:\Brents\Brent Charlie\Brent Charlie Oil Export\6. General Information\Oil Export Totaliser Error\MR 2019\21.03.2019.xlsx","21.03.2019.xlsx")</f>
        <v>21.03.2019.xlsx</v>
      </c>
      <c r="C82" s="14">
        <v>636008.43000000005</v>
      </c>
      <c r="D82" s="14">
        <v>0</v>
      </c>
      <c r="E82" s="14">
        <v>622497.27300000004</v>
      </c>
      <c r="F82" s="14">
        <v>0</v>
      </c>
      <c r="G82" s="14">
        <v>504190.88699999999</v>
      </c>
      <c r="H82" s="14">
        <v>0</v>
      </c>
      <c r="I82" s="14"/>
      <c r="J82" s="14"/>
    </row>
    <row r="83" spans="1:10" x14ac:dyDescent="0.25">
      <c r="A83" s="7">
        <v>43546</v>
      </c>
      <c r="B83" s="8" t="str">
        <f>HYPERLINK("Y:\Brents\Brent Charlie\Brent Charlie Oil Export\6. General Information\Oil Export Totaliser Error\MR 2019\22.03.2019.xlsx","22.03.2019.xlsx")</f>
        <v>22.03.2019.xlsx</v>
      </c>
      <c r="C83" s="14">
        <v>636008.43000000005</v>
      </c>
      <c r="D83" s="14">
        <v>0</v>
      </c>
      <c r="E83" s="14">
        <v>622497.27300000004</v>
      </c>
      <c r="F83" s="14">
        <v>0</v>
      </c>
      <c r="G83" s="14">
        <v>504190.88699999999</v>
      </c>
      <c r="H83" s="14">
        <v>0</v>
      </c>
      <c r="I83" s="14"/>
      <c r="J83" s="14"/>
    </row>
    <row r="84" spans="1:10" x14ac:dyDescent="0.25">
      <c r="A84" s="7">
        <v>43547</v>
      </c>
      <c r="B84" s="8" t="str">
        <f>HYPERLINK("Y:\Brents\Brent Charlie\Brent Charlie Oil Export\6. General Information\Oil Export Totaliser Error\MR 2019\23.03.2019.xlsx","23.03.2019.xlsx")</f>
        <v>23.03.2019.xlsx</v>
      </c>
      <c r="C84" s="14">
        <v>636008.43000000005</v>
      </c>
      <c r="D84" s="14">
        <v>0</v>
      </c>
      <c r="E84" s="14">
        <v>622497.27300000004</v>
      </c>
      <c r="F84" s="14">
        <v>0</v>
      </c>
      <c r="G84" s="14">
        <v>504190.88699999999</v>
      </c>
      <c r="H84" s="14">
        <v>0</v>
      </c>
      <c r="I84" s="14"/>
      <c r="J84" s="14"/>
    </row>
    <row r="85" spans="1:10" x14ac:dyDescent="0.25">
      <c r="A85" s="7">
        <v>43548</v>
      </c>
      <c r="B85" s="8" t="str">
        <f>HYPERLINK("Y:\Brents\Brent Charlie\Brent Charlie Oil Export\6. General Information\Oil Export Totaliser Error\MR 2019\24.03.2019.xlsx","24.03.2019.xlsx")</f>
        <v>24.03.2019.xlsx</v>
      </c>
      <c r="C85" s="14">
        <v>636008.43000000005</v>
      </c>
      <c r="D85" s="14">
        <v>0</v>
      </c>
      <c r="E85" s="14">
        <v>622497.27300000004</v>
      </c>
      <c r="F85" s="14">
        <v>0</v>
      </c>
      <c r="G85" s="14">
        <v>504190.88699999999</v>
      </c>
      <c r="H85" s="14">
        <v>0</v>
      </c>
      <c r="I85" s="14"/>
      <c r="J85" s="14"/>
    </row>
    <row r="86" spans="1:10" x14ac:dyDescent="0.25">
      <c r="A86" s="7">
        <v>43549</v>
      </c>
      <c r="B86" s="8" t="str">
        <f>HYPERLINK("Y:\Brents\Brent Charlie\Brent Charlie Oil Export\6. General Information\Oil Export Totaliser Error\MR 2019\25.03.2019.xlsx","25.03.2019.xlsx")</f>
        <v>25.03.2019.xlsx</v>
      </c>
      <c r="C86" s="14">
        <v>636008.43000000005</v>
      </c>
      <c r="D86" s="14">
        <v>0</v>
      </c>
      <c r="E86" s="14">
        <v>622497.27300000004</v>
      </c>
      <c r="F86" s="14">
        <v>0</v>
      </c>
      <c r="G86" s="14">
        <v>504190.88699999999</v>
      </c>
      <c r="H86" s="14">
        <v>0</v>
      </c>
      <c r="I86" s="14"/>
      <c r="J86" s="14"/>
    </row>
    <row r="87" spans="1:10" x14ac:dyDescent="0.25">
      <c r="A87" s="7">
        <v>43550</v>
      </c>
      <c r="B87" s="8" t="str">
        <f>HYPERLINK("Y:\Brents\Brent Charlie\Brent Charlie Oil Export\6. General Information\Oil Export Totaliser Error\MR 2019\26.03.2019.xlsx","26.03.2019.xlsx")</f>
        <v>26.03.2019.xlsx</v>
      </c>
      <c r="C87" s="14">
        <v>636008.43000000005</v>
      </c>
      <c r="D87" s="14">
        <v>0</v>
      </c>
      <c r="E87" s="14">
        <v>622497.27300000004</v>
      </c>
      <c r="F87" s="14">
        <v>0</v>
      </c>
      <c r="G87" s="14">
        <v>504190.88699999999</v>
      </c>
      <c r="H87" s="14">
        <v>0</v>
      </c>
      <c r="I87" s="14"/>
      <c r="J87" s="14"/>
    </row>
    <row r="88" spans="1:10" x14ac:dyDescent="0.25">
      <c r="A88" s="7">
        <v>43551</v>
      </c>
      <c r="B88" s="8" t="str">
        <f>HYPERLINK("Y:\Brents\Brent Charlie\Brent Charlie Oil Export\6. General Information\Oil Export Totaliser Error\MR 2019\27.03.2019 rev 1.xlsx","27.03.2019 rev 1.xlsx")</f>
        <v>27.03.2019 rev 1.xlsx</v>
      </c>
      <c r="C88" s="14">
        <v>642268.29</v>
      </c>
      <c r="D88" s="14">
        <v>6259.86</v>
      </c>
      <c r="E88" s="14">
        <v>628624.03</v>
      </c>
      <c r="F88" s="14">
        <v>6126.76</v>
      </c>
      <c r="G88" s="14">
        <v>509157.82</v>
      </c>
      <c r="H88" s="14">
        <v>4966.93</v>
      </c>
      <c r="I88" s="14"/>
      <c r="J88" s="14"/>
    </row>
    <row r="89" spans="1:10" x14ac:dyDescent="0.25">
      <c r="A89" s="7">
        <v>43552</v>
      </c>
      <c r="B89" s="8" t="str">
        <f>HYPERLINK("Y:\Brents\Brent Charlie\Brent Charlie Oil Export\6. General Information\Oil Export Totaliser Error\MR 2019\28.03.2019.xlsx","28.03.2019.xlsx")</f>
        <v>28.03.2019.xlsx</v>
      </c>
      <c r="C89" s="14">
        <v>642268.29</v>
      </c>
      <c r="D89" s="14">
        <v>0</v>
      </c>
      <c r="E89" s="14">
        <v>628624.03</v>
      </c>
      <c r="F89" s="14">
        <v>0</v>
      </c>
      <c r="G89" s="14">
        <v>509157.82</v>
      </c>
      <c r="H89" s="14">
        <v>0</v>
      </c>
      <c r="I89" s="14"/>
      <c r="J89" s="14"/>
    </row>
    <row r="90" spans="1:10" x14ac:dyDescent="0.25">
      <c r="A90" s="7">
        <v>43553</v>
      </c>
      <c r="B90" s="8" t="str">
        <f>HYPERLINK("Y:\Brents\Brent Charlie\Brent Charlie Oil Export\6. General Information\Oil Export Totaliser Error\MR 2019\29.03.2019.xlsx","29.03.2019.xlsx")</f>
        <v>29.03.2019.xlsx</v>
      </c>
      <c r="C90" s="14">
        <v>642268.29</v>
      </c>
      <c r="D90" s="14">
        <v>0</v>
      </c>
      <c r="E90" s="14">
        <v>628624.03</v>
      </c>
      <c r="F90" s="14">
        <v>0</v>
      </c>
      <c r="G90" s="14">
        <v>509157.82</v>
      </c>
      <c r="H90" s="14">
        <v>0</v>
      </c>
      <c r="I90" s="14"/>
      <c r="J90" s="14"/>
    </row>
    <row r="91" spans="1:10" x14ac:dyDescent="0.25">
      <c r="A91" s="7">
        <v>43554</v>
      </c>
      <c r="B91" s="8" t="str">
        <f>HYPERLINK("Y:\Brents\Brent Charlie\Brent Charlie Oil Export\6. General Information\Oil Export Totaliser Error\MR 2019\30.03.2019.xlsx","30.03.2019.xlsx")</f>
        <v>30.03.2019.xlsx</v>
      </c>
      <c r="C91" s="14">
        <v>642268.29</v>
      </c>
      <c r="D91" s="14">
        <v>0</v>
      </c>
      <c r="E91" s="14">
        <v>628624.03</v>
      </c>
      <c r="F91" s="14">
        <v>0</v>
      </c>
      <c r="G91" s="14">
        <v>509157.82</v>
      </c>
      <c r="H91" s="14">
        <v>0</v>
      </c>
      <c r="I91" s="14"/>
      <c r="J91" s="14"/>
    </row>
    <row r="92" spans="1:10" x14ac:dyDescent="0.25">
      <c r="A92" s="7">
        <v>43555</v>
      </c>
      <c r="B92" s="8" t="str">
        <f>HYPERLINK("Y:\Brents\Brent Charlie\Brent Charlie Oil Export\6. General Information\Oil Export Totaliser Error\MR 2019\31.03.2019.xlsx","31.03.2019.xlsx")</f>
        <v>31.03.2019.xlsx</v>
      </c>
      <c r="C92" s="14">
        <v>642268.29</v>
      </c>
      <c r="D92" s="14">
        <v>0</v>
      </c>
      <c r="E92" s="14">
        <v>628624.03</v>
      </c>
      <c r="F92" s="14">
        <v>0</v>
      </c>
      <c r="G92" s="14">
        <v>509157.82</v>
      </c>
      <c r="H92" s="14">
        <v>0</v>
      </c>
      <c r="I92" s="14"/>
      <c r="J92" s="14"/>
    </row>
    <row r="93" spans="1:10" x14ac:dyDescent="0.25">
      <c r="A93" s="7">
        <v>43556</v>
      </c>
      <c r="B93" s="8" t="str">
        <f>HYPERLINK("Y:\Brents\Brent Charlie\Brent Charlie Oil Export\6. General Information\Oil Export Totaliser Error\MR 2019\01.04.2019.xlsx","01.04.2019.xlsx")</f>
        <v>01.04.2019.xlsx</v>
      </c>
      <c r="C93" s="14">
        <v>642268.29</v>
      </c>
      <c r="D93" s="14">
        <v>0</v>
      </c>
      <c r="E93" s="14">
        <v>628624.03</v>
      </c>
      <c r="F93" s="14">
        <v>0</v>
      </c>
      <c r="G93" s="14">
        <v>509157.82</v>
      </c>
      <c r="H93" s="14">
        <v>0</v>
      </c>
      <c r="I93" s="14"/>
      <c r="J93" s="14"/>
    </row>
    <row r="94" spans="1:10" x14ac:dyDescent="0.25">
      <c r="A94" s="7">
        <v>43557</v>
      </c>
      <c r="B94" s="8" t="str">
        <f>HYPERLINK("Y:\Brents\Brent Charlie\Brent Charlie Oil Export\6. General Information\Oil Export Totaliser Error\MR 2019\02.04.2019.xlsx","02.04.2019.xlsx")</f>
        <v>02.04.2019.xlsx</v>
      </c>
      <c r="C94" s="14">
        <v>648275.57628599997</v>
      </c>
      <c r="D94" s="14">
        <v>6007.2839999999997</v>
      </c>
      <c r="E94" s="14">
        <v>634513.9889</v>
      </c>
      <c r="F94" s="14">
        <v>5889.96</v>
      </c>
      <c r="G94" s="14">
        <v>513942.19</v>
      </c>
      <c r="H94" s="14">
        <v>4784.38</v>
      </c>
      <c r="I94" s="14"/>
      <c r="J94" s="14"/>
    </row>
    <row r="95" spans="1:10" x14ac:dyDescent="0.25">
      <c r="A95" s="7">
        <v>43558</v>
      </c>
      <c r="B95" s="8" t="str">
        <f>HYPERLINK("Y:\Brents\Brent Charlie\Brent Charlie Oil Export\6. General Information\Oil Export Totaliser Error\MR 2019\03.04.2019.xlsx","03.04.2019.xlsx")</f>
        <v>03.04.2019.xlsx</v>
      </c>
      <c r="C95" s="14">
        <v>655737.27749500005</v>
      </c>
      <c r="D95" s="14">
        <v>7461.701</v>
      </c>
      <c r="E95" s="14">
        <v>641818.59358500002</v>
      </c>
      <c r="F95" s="14">
        <v>7304.6040000000003</v>
      </c>
      <c r="G95" s="14">
        <v>519865.29652199999</v>
      </c>
      <c r="H95" s="14">
        <v>5923.1049999999996</v>
      </c>
      <c r="I95" s="14"/>
      <c r="J95" s="14"/>
    </row>
    <row r="96" spans="1:10" x14ac:dyDescent="0.25">
      <c r="A96" s="7">
        <v>43559</v>
      </c>
      <c r="B96" s="8" t="str">
        <f>HYPERLINK("Y:\Brents\Brent Charlie\Brent Charlie Oil Export\6. General Information\Oil Export Totaliser Error\MR 2019\04.04.2019.xlsx","04.04.2019.xlsx")</f>
        <v>04.04.2019.xlsx</v>
      </c>
      <c r="C96" s="14">
        <v>655737.27749500005</v>
      </c>
      <c r="D96" s="14">
        <v>0</v>
      </c>
      <c r="E96" s="14">
        <v>641818.59358500002</v>
      </c>
      <c r="F96" s="14">
        <v>0</v>
      </c>
      <c r="G96" s="14">
        <v>519865.29652199999</v>
      </c>
      <c r="H96" s="14">
        <v>0</v>
      </c>
      <c r="I96" s="14"/>
      <c r="J96" s="14"/>
    </row>
    <row r="97" spans="1:10" x14ac:dyDescent="0.25">
      <c r="A97" s="7">
        <v>43560</v>
      </c>
      <c r="B97" s="8" t="str">
        <f>HYPERLINK("Y:\Brents\Brent Charlie\Brent Charlie Oil Export\6. General Information\Oil Export Totaliser Error\MR 2019\05.04.2019.xlsx","05.04.2019.xlsx")</f>
        <v>05.04.2019.xlsx</v>
      </c>
      <c r="C97" s="14">
        <v>655737.27749500005</v>
      </c>
      <c r="D97" s="14">
        <v>0</v>
      </c>
      <c r="E97" s="14">
        <v>641818.59358500002</v>
      </c>
      <c r="F97" s="14">
        <v>0</v>
      </c>
      <c r="G97" s="14">
        <v>519865.29652199999</v>
      </c>
      <c r="H97" s="14">
        <v>0</v>
      </c>
      <c r="I97" s="14"/>
      <c r="J97" s="14"/>
    </row>
    <row r="98" spans="1:10" x14ac:dyDescent="0.25">
      <c r="A98" s="7">
        <v>43561</v>
      </c>
      <c r="B98" s="8" t="str">
        <f>HYPERLINK("Y:\Brents\Brent Charlie\Brent Charlie Oil Export\6. General Information\Oil Export Totaliser Error\MR 2019\06.04.2019.xlsx","06.04.2019.xlsx")</f>
        <v>06.04.2019.xlsx</v>
      </c>
      <c r="C98" s="14">
        <v>655737.27749500005</v>
      </c>
      <c r="D98" s="14">
        <v>0</v>
      </c>
      <c r="E98" s="14">
        <v>641818.59358500002</v>
      </c>
      <c r="F98" s="14">
        <v>0</v>
      </c>
      <c r="G98" s="14">
        <v>519865.29652199999</v>
      </c>
      <c r="H98" s="14">
        <v>0</v>
      </c>
      <c r="I98" s="14"/>
      <c r="J98" s="14"/>
    </row>
    <row r="99" spans="1:10" x14ac:dyDescent="0.25">
      <c r="A99" s="7">
        <v>43562</v>
      </c>
      <c r="B99" s="8" t="str">
        <f>HYPERLINK("Y:\Brents\Brent Charlie\Brent Charlie Oil Export\6. General Information\Oil Export Totaliser Error\MR 2019\07.04.2019.xlsx","07.04.2019.xlsx")</f>
        <v>07.04.2019.xlsx</v>
      </c>
      <c r="C99" s="14">
        <v>664361.38</v>
      </c>
      <c r="D99" s="14">
        <v>8624.1</v>
      </c>
      <c r="E99" s="14">
        <v>650250.87</v>
      </c>
      <c r="F99" s="14">
        <v>8432.27</v>
      </c>
      <c r="G99" s="14">
        <v>526695.89</v>
      </c>
      <c r="H99" s="14">
        <v>6830.6</v>
      </c>
      <c r="I99" s="14"/>
      <c r="J99" s="14"/>
    </row>
    <row r="100" spans="1:10" x14ac:dyDescent="0.25">
      <c r="A100" s="7">
        <v>43563</v>
      </c>
      <c r="B100" s="8" t="str">
        <f>HYPERLINK("Y:\Brents\Brent Charlie\Brent Charlie Oil Export\6. General Information\Oil Export Totaliser Error\MR 2019\08.04.2019.xlsx","08.04.2019.xlsx")</f>
        <v>08.04.2019.xlsx</v>
      </c>
      <c r="C100" s="14">
        <v>664361.38</v>
      </c>
      <c r="D100" s="14">
        <v>0</v>
      </c>
      <c r="E100" s="14">
        <v>650250.87</v>
      </c>
      <c r="F100" s="14">
        <v>0</v>
      </c>
      <c r="G100" s="14">
        <v>526695.89</v>
      </c>
      <c r="H100" s="14">
        <v>0</v>
      </c>
      <c r="I100" s="14"/>
      <c r="J100" s="14"/>
    </row>
    <row r="101" spans="1:10" x14ac:dyDescent="0.25">
      <c r="A101" s="7">
        <v>43564</v>
      </c>
      <c r="B101" s="8" t="str">
        <f>HYPERLINK("Y:\Brents\Brent Charlie\Brent Charlie Oil Export\6. General Information\Oil Export Totaliser Error\MR 2019\09.04.2019.xlsx","09.04.2019.xlsx")</f>
        <v>09.04.2019.xlsx</v>
      </c>
      <c r="C101" s="14">
        <v>664361.38</v>
      </c>
      <c r="D101" s="14">
        <v>0</v>
      </c>
      <c r="E101" s="14">
        <v>650250.87</v>
      </c>
      <c r="F101" s="14">
        <v>0</v>
      </c>
      <c r="G101" s="14">
        <v>526695.89</v>
      </c>
      <c r="H101" s="14">
        <v>0</v>
      </c>
      <c r="I101" s="14"/>
      <c r="J101" s="14"/>
    </row>
    <row r="102" spans="1:10" x14ac:dyDescent="0.25">
      <c r="A102" s="7">
        <v>43565</v>
      </c>
      <c r="B102" s="8" t="str">
        <f>HYPERLINK("Y:\Brents\Brent Charlie\Brent Charlie Oil Export\6. General Information\Oil Export Totaliser Error\MR 2019\10.04.2019..xlsx","10.04.2019..xlsx")</f>
        <v>10.04.2019..xlsx</v>
      </c>
      <c r="C102" s="14">
        <v>664361.38</v>
      </c>
      <c r="D102" s="14">
        <v>0</v>
      </c>
      <c r="E102" s="14">
        <v>650250.87</v>
      </c>
      <c r="F102" s="14">
        <v>0</v>
      </c>
      <c r="G102" s="14">
        <v>526695.89</v>
      </c>
      <c r="H102" s="14">
        <v>0</v>
      </c>
      <c r="I102" s="14"/>
      <c r="J102" s="14"/>
    </row>
    <row r="103" spans="1:10" x14ac:dyDescent="0.25">
      <c r="A103" s="7">
        <v>43566</v>
      </c>
      <c r="B103" s="8" t="str">
        <f>HYPERLINK("Y:\Brents\Brent Charlie\Brent Charlie Oil Export\6. General Information\Oil Export Totaliser Error\MR 2019\11.04.2019.xlsx","11.04.2019.xlsx")</f>
        <v>11.04.2019.xlsx</v>
      </c>
      <c r="C103" s="14">
        <v>664361.38</v>
      </c>
      <c r="D103" s="14">
        <v>0</v>
      </c>
      <c r="E103" s="14">
        <v>650250.87</v>
      </c>
      <c r="F103" s="14">
        <v>0</v>
      </c>
      <c r="G103" s="14">
        <v>526695.89</v>
      </c>
      <c r="H103" s="14">
        <v>0</v>
      </c>
      <c r="I103" s="14"/>
      <c r="J103" s="14"/>
    </row>
    <row r="104" spans="1:10" x14ac:dyDescent="0.25">
      <c r="A104" s="7">
        <v>43567</v>
      </c>
      <c r="B104" s="8" t="str">
        <f>HYPERLINK("Y:\Brents\Brent Charlie\Brent Charlie Oil Export\6. General Information\Oil Export Totaliser Error\MR 2019\12.04.2019.xlsx","12.04.2019.xlsx")</f>
        <v>12.04.2019.xlsx</v>
      </c>
      <c r="C104" s="14">
        <v>664361.38</v>
      </c>
      <c r="D104" s="14">
        <v>0</v>
      </c>
      <c r="E104" s="14">
        <v>650250.87</v>
      </c>
      <c r="F104" s="14">
        <v>0</v>
      </c>
      <c r="G104" s="14">
        <v>526695.89</v>
      </c>
      <c r="H104" s="14">
        <v>0</v>
      </c>
      <c r="I104" s="14"/>
      <c r="J104" s="14"/>
    </row>
    <row r="105" spans="1:10" x14ac:dyDescent="0.25">
      <c r="A105" s="7">
        <v>43568</v>
      </c>
      <c r="B105" s="8" t="str">
        <f>HYPERLINK("Y:\Brents\Brent Charlie\Brent Charlie Oil Export\6. General Information\Oil Export Totaliser Error\MR 2019\13.04.2019.xlsx","13.04.2019.xlsx")</f>
        <v>13.04.2019.xlsx</v>
      </c>
      <c r="C105" s="14">
        <v>664361.38</v>
      </c>
      <c r="D105" s="14">
        <v>0</v>
      </c>
      <c r="E105" s="14">
        <v>650250.87</v>
      </c>
      <c r="F105" s="14">
        <v>0</v>
      </c>
      <c r="G105" s="14">
        <v>526695.89</v>
      </c>
      <c r="H105" s="14">
        <v>0</v>
      </c>
      <c r="I105" s="14"/>
      <c r="J105" s="14"/>
    </row>
    <row r="106" spans="1:10" x14ac:dyDescent="0.25">
      <c r="A106" s="7">
        <v>43569</v>
      </c>
      <c r="B106" s="8" t="str">
        <f>HYPERLINK("Y:\Brents\Brent Charlie\Brent Charlie Oil Export\6. General Information\Oil Export Totaliser Error\MR 2019\14.04.2019.xlsx","14.04.2019.xlsx")</f>
        <v>14.04.2019.xlsx</v>
      </c>
      <c r="C106" s="14">
        <v>664361.38</v>
      </c>
      <c r="D106" s="14">
        <v>0</v>
      </c>
      <c r="E106" s="14">
        <v>650250.87</v>
      </c>
      <c r="F106" s="14">
        <v>0</v>
      </c>
      <c r="G106" s="14">
        <v>526695.89</v>
      </c>
      <c r="H106" s="14">
        <v>0</v>
      </c>
      <c r="I106" s="14"/>
      <c r="J106" s="14"/>
    </row>
    <row r="107" spans="1:10" x14ac:dyDescent="0.25">
      <c r="A107" s="7">
        <v>43570</v>
      </c>
      <c r="B107" s="8" t="str">
        <f>HYPERLINK("Y:\Brents\Brent Charlie\Brent Charlie Oil Export\6. General Information\Oil Export Totaliser Error\MR 2019\15.04.2019.xlsx","15.04.2019.xlsx")</f>
        <v>15.04.2019.xlsx</v>
      </c>
      <c r="C107" s="14">
        <v>664361.38</v>
      </c>
      <c r="D107" s="14">
        <v>0</v>
      </c>
      <c r="E107" s="14">
        <v>650250.87</v>
      </c>
      <c r="F107" s="14">
        <v>0</v>
      </c>
      <c r="G107" s="14">
        <v>526695.89</v>
      </c>
      <c r="H107" s="14">
        <v>0</v>
      </c>
      <c r="I107" s="14"/>
      <c r="J107" s="14"/>
    </row>
    <row r="108" spans="1:10" x14ac:dyDescent="0.25">
      <c r="A108" s="7">
        <v>43571</v>
      </c>
      <c r="B108" s="8" t="str">
        <f>HYPERLINK("Y:\Brents\Brent Charlie\Brent Charlie Oil Export\6. General Information\Oil Export Totaliser Error\MR 2019\16.04.2019.xlsx","16.04.2019.xlsx")</f>
        <v>16.04.2019.xlsx</v>
      </c>
      <c r="C108" s="14">
        <v>664361.38</v>
      </c>
      <c r="D108" s="14">
        <v>0</v>
      </c>
      <c r="E108" s="14">
        <v>650250.87</v>
      </c>
      <c r="F108" s="14">
        <v>0</v>
      </c>
      <c r="G108" s="14">
        <v>526695.89</v>
      </c>
      <c r="H108" s="14">
        <v>0</v>
      </c>
      <c r="I108" s="14"/>
      <c r="J108" s="14"/>
    </row>
    <row r="109" spans="1:10" x14ac:dyDescent="0.25">
      <c r="A109" s="7">
        <v>43572</v>
      </c>
      <c r="B109" s="8" t="str">
        <f>HYPERLINK("Y:\Brents\Brent Charlie\Brent Charlie Oil Export\6. General Information\Oil Export Totaliser Error\MR 2019\17.04.2019.xlsx","17.04.2019.xlsx")</f>
        <v>17.04.2019.xlsx</v>
      </c>
      <c r="C109" s="14">
        <v>664361.38</v>
      </c>
      <c r="D109" s="14">
        <v>0</v>
      </c>
      <c r="E109" s="14">
        <v>650250.87</v>
      </c>
      <c r="F109" s="14">
        <v>0</v>
      </c>
      <c r="G109" s="14">
        <v>526695.89</v>
      </c>
      <c r="H109" s="14">
        <v>0</v>
      </c>
      <c r="I109" s="14"/>
      <c r="J109" s="14"/>
    </row>
    <row r="110" spans="1:10" x14ac:dyDescent="0.25">
      <c r="A110" s="7">
        <v>43573</v>
      </c>
      <c r="B110" s="8" t="str">
        <f>HYPERLINK("Y:\Brents\Brent Charlie\Brent Charlie Oil Export\6. General Information\Oil Export Totaliser Error\MR 2019\18.04.2019.xlsx","18.04.2019.xlsx")</f>
        <v>18.04.2019.xlsx</v>
      </c>
      <c r="C110" s="14">
        <v>664361.38</v>
      </c>
      <c r="D110" s="14">
        <v>0</v>
      </c>
      <c r="E110" s="14">
        <v>650250.87</v>
      </c>
      <c r="F110" s="14">
        <v>0</v>
      </c>
      <c r="G110" s="14">
        <v>526695.89</v>
      </c>
      <c r="H110" s="14">
        <v>0</v>
      </c>
      <c r="I110" s="14"/>
      <c r="J110" s="14"/>
    </row>
    <row r="111" spans="1:10" x14ac:dyDescent="0.25">
      <c r="A111" s="7">
        <v>43574</v>
      </c>
      <c r="B111" s="8" t="str">
        <f>HYPERLINK("Y:\Brents\Brent Charlie\Brent Charlie Oil Export\6. General Information\Oil Export Totaliser Error\MR 2019\19.04.2019.xlsx","19.04.2019.xlsx")</f>
        <v>19.04.2019.xlsx</v>
      </c>
      <c r="C111" s="14">
        <v>664361.38</v>
      </c>
      <c r="D111" s="14">
        <v>0</v>
      </c>
      <c r="E111" s="14">
        <v>650250.87</v>
      </c>
      <c r="F111" s="14">
        <v>0</v>
      </c>
      <c r="G111" s="14">
        <v>526695.89</v>
      </c>
      <c r="H111" s="14">
        <v>0</v>
      </c>
      <c r="I111" s="14"/>
      <c r="J111" s="14"/>
    </row>
    <row r="112" spans="1:10" x14ac:dyDescent="0.25">
      <c r="A112" s="7">
        <v>43575</v>
      </c>
      <c r="B112" s="8" t="str">
        <f>HYPERLINK("Y:\Brents\Brent Charlie\Brent Charlie Oil Export\6. General Information\Oil Export Totaliser Error\MR 2019\20.04.2019.xlsx","20.04.2019.xlsx")</f>
        <v>20.04.2019.xlsx</v>
      </c>
      <c r="C112" s="14">
        <v>664361.38</v>
      </c>
      <c r="D112" s="14">
        <v>0</v>
      </c>
      <c r="E112" s="14">
        <v>650250.87</v>
      </c>
      <c r="F112" s="14">
        <v>0</v>
      </c>
      <c r="G112" s="14">
        <v>526695.89</v>
      </c>
      <c r="H112" s="14">
        <v>0</v>
      </c>
      <c r="I112" s="14"/>
      <c r="J112" s="14"/>
    </row>
    <row r="113" spans="1:10" x14ac:dyDescent="0.25">
      <c r="A113" s="7">
        <v>43576</v>
      </c>
      <c r="B113" s="8" t="str">
        <f>HYPERLINK("Y:\Brents\Brent Charlie\Brent Charlie Oil Export\6. General Information\Oil Export Totaliser Error\MR 2019\21.04.2019.xlsx","21.04.2019.xlsx")</f>
        <v>21.04.2019.xlsx</v>
      </c>
      <c r="C113" s="14">
        <v>664361.38</v>
      </c>
      <c r="D113" s="14">
        <v>0</v>
      </c>
      <c r="E113" s="14">
        <v>650250.87</v>
      </c>
      <c r="F113" s="14">
        <v>0</v>
      </c>
      <c r="G113" s="14">
        <v>526695.89</v>
      </c>
      <c r="H113" s="14">
        <v>0</v>
      </c>
      <c r="I113" s="14"/>
      <c r="J113" s="14"/>
    </row>
    <row r="114" spans="1:10" x14ac:dyDescent="0.25">
      <c r="A114" s="7">
        <v>43577</v>
      </c>
      <c r="B114" s="8" t="str">
        <f>HYPERLINK("Y:\Brents\Brent Charlie\Brent Charlie Oil Export\6. General Information\Oil Export Totaliser Error\MR 2019\22.04.2019.xlsx","22.04.2019.xlsx")</f>
        <v>22.04.2019.xlsx</v>
      </c>
      <c r="C114" s="14">
        <v>664361.38</v>
      </c>
      <c r="D114" s="14">
        <v>0</v>
      </c>
      <c r="E114" s="14">
        <v>650250.87</v>
      </c>
      <c r="F114" s="14">
        <v>0</v>
      </c>
      <c r="G114" s="14">
        <v>526695.89</v>
      </c>
      <c r="H114" s="14">
        <v>0</v>
      </c>
      <c r="I114" s="14"/>
      <c r="J114" s="14"/>
    </row>
    <row r="115" spans="1:10" x14ac:dyDescent="0.25">
      <c r="A115" s="7">
        <v>43578</v>
      </c>
      <c r="B115" s="8" t="str">
        <f>HYPERLINK("Y:\Brents\Brent Charlie\Brent Charlie Oil Export\6. General Information\Oil Export Totaliser Error\MR 2019\23.04.2019.xlsx","23.04.2019.xlsx")</f>
        <v>23.04.2019.xlsx</v>
      </c>
      <c r="C115" s="14">
        <v>664361.38</v>
      </c>
      <c r="D115" s="14">
        <v>0</v>
      </c>
      <c r="E115" s="14">
        <v>650250.87</v>
      </c>
      <c r="F115" s="14">
        <v>0</v>
      </c>
      <c r="G115" s="14">
        <v>526695.89</v>
      </c>
      <c r="H115" s="14">
        <v>0</v>
      </c>
      <c r="I115" s="14"/>
      <c r="J115" s="14"/>
    </row>
    <row r="116" spans="1:10" x14ac:dyDescent="0.25">
      <c r="A116" s="7">
        <v>43579</v>
      </c>
      <c r="B116" s="8" t="str">
        <f>HYPERLINK("Y:\Brents\Brent Charlie\Brent Charlie Oil Export\6. General Information\Oil Export Totaliser Error\MR 2019\24.04.2019.xlsx","24.04.2019.xlsx")</f>
        <v>24.04.2019.xlsx</v>
      </c>
      <c r="C116" s="14">
        <v>664361.38</v>
      </c>
      <c r="D116" s="14">
        <v>0</v>
      </c>
      <c r="E116" s="14">
        <v>650250.87</v>
      </c>
      <c r="F116" s="14">
        <v>0</v>
      </c>
      <c r="G116" s="14">
        <v>526695.89</v>
      </c>
      <c r="H116" s="14">
        <v>0</v>
      </c>
      <c r="I116" s="14"/>
      <c r="J116" s="14"/>
    </row>
    <row r="117" spans="1:10" x14ac:dyDescent="0.25">
      <c r="A117" s="7">
        <v>43580</v>
      </c>
      <c r="B117" s="8" t="str">
        <f>HYPERLINK("Y:\Brents\Brent Charlie\Brent Charlie Oil Export\6. General Information\Oil Export Totaliser Error\MR 2019\25.04.2019.xlsx","25.04.2019.xlsx")</f>
        <v>25.04.2019.xlsx</v>
      </c>
      <c r="C117" s="14">
        <v>664361.38</v>
      </c>
      <c r="D117" s="14">
        <v>0</v>
      </c>
      <c r="E117" s="14">
        <v>650250.87</v>
      </c>
      <c r="F117" s="14">
        <v>0</v>
      </c>
      <c r="G117" s="14">
        <v>526695.89</v>
      </c>
      <c r="H117" s="14">
        <v>0</v>
      </c>
      <c r="I117" s="14"/>
      <c r="J117" s="14"/>
    </row>
    <row r="118" spans="1:10" x14ac:dyDescent="0.25">
      <c r="A118" s="7">
        <v>43581</v>
      </c>
      <c r="B118" s="8" t="str">
        <f>HYPERLINK("Y:\Brents\Brent Charlie\Brent Charlie Oil Export\6. General Information\Oil Export Totaliser Error\MR 2019\26.04.2019.xlsx","26.04.2019.xlsx")</f>
        <v>26.04.2019.xlsx</v>
      </c>
      <c r="C118" s="14">
        <v>664361.38</v>
      </c>
      <c r="D118" s="14">
        <v>0</v>
      </c>
      <c r="E118" s="14">
        <v>650250.87</v>
      </c>
      <c r="F118" s="14">
        <v>0</v>
      </c>
      <c r="G118" s="14">
        <v>526695.89</v>
      </c>
      <c r="H118" s="14">
        <v>0</v>
      </c>
      <c r="I118" s="14"/>
      <c r="J118" s="14"/>
    </row>
    <row r="119" spans="1:10" x14ac:dyDescent="0.25">
      <c r="A119" s="7">
        <v>43582</v>
      </c>
      <c r="B119" s="8" t="str">
        <f>HYPERLINK("Y:\Brents\Brent Charlie\Brent Charlie Oil Export\6. General Information\Oil Export Totaliser Error\MR 2019\27.04.2019.xlsx","27.04.2019.xlsx")</f>
        <v>27.04.2019.xlsx</v>
      </c>
      <c r="C119" s="14">
        <v>664361.38</v>
      </c>
      <c r="D119" s="14">
        <v>0</v>
      </c>
      <c r="E119" s="14">
        <v>650250.87</v>
      </c>
      <c r="F119" s="14">
        <v>0</v>
      </c>
      <c r="G119" s="14">
        <v>526695.89</v>
      </c>
      <c r="H119" s="14">
        <v>0</v>
      </c>
      <c r="I119" s="14"/>
      <c r="J119" s="14"/>
    </row>
    <row r="120" spans="1:10" x14ac:dyDescent="0.25">
      <c r="A120" s="7">
        <v>43583</v>
      </c>
      <c r="B120" s="8" t="str">
        <f>HYPERLINK("Y:\Brents\Brent Charlie\Brent Charlie Oil Export\6. General Information\Oil Export Totaliser Error\MR 2019\28.04.2019.xlsx","28.04.2019.xlsx")</f>
        <v>28.04.2019.xlsx</v>
      </c>
      <c r="C120" s="14">
        <v>664361.38</v>
      </c>
      <c r="D120" s="14">
        <v>0</v>
      </c>
      <c r="E120" s="14">
        <v>650250.87</v>
      </c>
      <c r="F120" s="14">
        <v>0</v>
      </c>
      <c r="G120" s="14">
        <v>526695.89</v>
      </c>
      <c r="H120" s="14">
        <v>0</v>
      </c>
      <c r="I120" s="14"/>
      <c r="J120" s="14"/>
    </row>
    <row r="121" spans="1:10" x14ac:dyDescent="0.25">
      <c r="A121" s="7">
        <v>43584</v>
      </c>
      <c r="B121" s="8" t="str">
        <f>HYPERLINK("Y:\Brents\Brent Charlie\Brent Charlie Oil Export\6. General Information\Oil Export Totaliser Error\MR 2019\29.04.2019.xlsx","29.04.2019.xlsx")</f>
        <v>29.04.2019.xlsx</v>
      </c>
      <c r="C121" s="14">
        <v>664361.38</v>
      </c>
      <c r="D121" s="14">
        <v>0</v>
      </c>
      <c r="E121" s="14">
        <v>650250.87</v>
      </c>
      <c r="F121" s="14">
        <v>0</v>
      </c>
      <c r="G121" s="14">
        <v>526695.89</v>
      </c>
      <c r="H121" s="14">
        <v>0</v>
      </c>
      <c r="I121" s="14"/>
      <c r="J121" s="14"/>
    </row>
    <row r="122" spans="1:10" x14ac:dyDescent="0.25">
      <c r="A122" s="7">
        <v>43585</v>
      </c>
      <c r="B122" s="8" t="str">
        <f>HYPERLINK("Y:\Brents\Brent Charlie\Brent Charlie Oil Export\6. General Information\Oil Export Totaliser Error\MR 2019\30.04.2019.xlsx","30.04.2019.xlsx")</f>
        <v>30.04.2019.xlsx</v>
      </c>
      <c r="C122" s="14">
        <v>664361.38</v>
      </c>
      <c r="D122" s="14">
        <v>0</v>
      </c>
      <c r="E122" s="14">
        <v>650250.87</v>
      </c>
      <c r="F122" s="14">
        <v>0</v>
      </c>
      <c r="G122" s="14">
        <v>526695.89</v>
      </c>
      <c r="H122" s="14">
        <v>0</v>
      </c>
      <c r="I122" s="14"/>
      <c r="J122" s="14"/>
    </row>
    <row r="123" spans="1:10" x14ac:dyDescent="0.25">
      <c r="A123" s="7">
        <v>43586</v>
      </c>
      <c r="B123" s="8" t="str">
        <f>HYPERLINK("Y:\Brents\Brent Charlie\Brent Charlie Oil Export\6. General Information\Oil Export Totaliser Error\MR 2019\01.05.2019.xlsx","01.05.2019.xlsx")</f>
        <v>01.05.2019.xlsx</v>
      </c>
      <c r="C123" s="14">
        <v>673451.71400000004</v>
      </c>
      <c r="D123" s="14">
        <v>9090.3330000000005</v>
      </c>
      <c r="E123" s="14">
        <v>659151.11800000002</v>
      </c>
      <c r="F123" s="14">
        <v>8900.2450000000008</v>
      </c>
      <c r="G123" s="14">
        <v>533920.951</v>
      </c>
      <c r="H123" s="14">
        <v>7225.0550000000003</v>
      </c>
      <c r="I123" s="14"/>
      <c r="J123" s="14"/>
    </row>
    <row r="124" spans="1:10" x14ac:dyDescent="0.25">
      <c r="A124" s="7">
        <v>43587</v>
      </c>
      <c r="B124" s="8" t="str">
        <f>HYPERLINK("Y:\Brents\Brent Charlie\Brent Charlie Oil Export\6. General Information\Oil Export Totaliser Error\MR 2019\02.05.2019.xlsx","02.05.2019.xlsx")</f>
        <v>02.05.2019.xlsx</v>
      </c>
      <c r="C124" s="14">
        <v>673451.71400000004</v>
      </c>
      <c r="D124" s="14">
        <v>0</v>
      </c>
      <c r="E124" s="14">
        <v>659151.11800000002</v>
      </c>
      <c r="F124" s="14">
        <v>0</v>
      </c>
      <c r="G124" s="14">
        <v>533920.951</v>
      </c>
      <c r="H124" s="14">
        <v>0</v>
      </c>
      <c r="I124" s="14"/>
      <c r="J124" s="14"/>
    </row>
    <row r="125" spans="1:10" x14ac:dyDescent="0.25">
      <c r="A125" s="7">
        <v>43588</v>
      </c>
      <c r="B125" s="8" t="str">
        <f>HYPERLINK("Y:\Brents\Brent Charlie\Brent Charlie Oil Export\6. General Information\Oil Export Totaliser Error\MR 2019\03.05.2019.xlsx","03.05.2019.xlsx")</f>
        <v>03.05.2019.xlsx</v>
      </c>
      <c r="C125" s="14">
        <v>673451.71400000004</v>
      </c>
      <c r="D125" s="14">
        <v>0</v>
      </c>
      <c r="E125" s="14">
        <v>659151.11800000002</v>
      </c>
      <c r="F125" s="14">
        <v>0</v>
      </c>
      <c r="G125" s="14">
        <v>533920.951</v>
      </c>
      <c r="H125" s="14">
        <v>0</v>
      </c>
      <c r="I125" s="14"/>
      <c r="J125" s="14"/>
    </row>
    <row r="126" spans="1:10" x14ac:dyDescent="0.25">
      <c r="A126" s="7">
        <v>43589</v>
      </c>
      <c r="B126" s="8" t="str">
        <f>HYPERLINK("Y:\Brents\Brent Charlie\Brent Charlie Oil Export\6. General Information\Oil Export Totaliser Error\MR 2019\04.05.2019.xlsx","04.05.2019.xlsx")</f>
        <v>04.05.2019.xlsx</v>
      </c>
      <c r="C126" s="14">
        <v>673451.71400000004</v>
      </c>
      <c r="D126" s="14">
        <v>0</v>
      </c>
      <c r="E126" s="14">
        <v>659151.11800000002</v>
      </c>
      <c r="F126" s="14">
        <v>0</v>
      </c>
      <c r="G126" s="14">
        <v>533920.951</v>
      </c>
      <c r="H126" s="14">
        <v>0</v>
      </c>
      <c r="I126" s="14"/>
      <c r="J126" s="14"/>
    </row>
    <row r="127" spans="1:10" x14ac:dyDescent="0.25">
      <c r="A127" s="7">
        <v>43590</v>
      </c>
      <c r="B127" s="8" t="str">
        <f>HYPERLINK("Y:\Brents\Brent Charlie\Brent Charlie Oil Export\6. General Information\Oil Export Totaliser Error\MR 2019\05.05.2019.xlsx","05.05.2019.xlsx")</f>
        <v>05.05.2019.xlsx</v>
      </c>
      <c r="C127" s="14">
        <v>680956.7</v>
      </c>
      <c r="D127" s="14">
        <v>7504.8959999999997</v>
      </c>
      <c r="E127" s="14">
        <v>666500.49891700002</v>
      </c>
      <c r="F127" s="14">
        <v>7349.38</v>
      </c>
      <c r="G127" s="14">
        <v>539877.19528500002</v>
      </c>
      <c r="H127" s="14">
        <v>5956.2439999999997</v>
      </c>
      <c r="I127" s="14"/>
      <c r="J127" s="14"/>
    </row>
    <row r="128" spans="1:10" x14ac:dyDescent="0.25">
      <c r="A128" s="7">
        <v>43591</v>
      </c>
      <c r="B128" s="8" t="str">
        <f>HYPERLINK("Y:\Brents\Brent Charlie\Brent Charlie Oil Export\6. General Information\Oil Export Totaliser Error\MR 2019\06.05.2019.xlsx","06.05.2019.xlsx")</f>
        <v>06.05.2019.xlsx</v>
      </c>
      <c r="C128" s="14">
        <v>680956.7</v>
      </c>
      <c r="D128" s="14">
        <v>0</v>
      </c>
      <c r="E128" s="14">
        <v>666500.49891700002</v>
      </c>
      <c r="F128" s="14">
        <v>0</v>
      </c>
      <c r="G128" s="14">
        <v>539877.19528500002</v>
      </c>
      <c r="H128" s="14">
        <v>0</v>
      </c>
      <c r="I128" s="14"/>
      <c r="J128" s="14"/>
    </row>
    <row r="129" spans="1:10" x14ac:dyDescent="0.25">
      <c r="A129" s="7">
        <v>43592</v>
      </c>
      <c r="B129" s="8" t="str">
        <f>HYPERLINK("Y:\Brents\Brent Charlie\Brent Charlie Oil Export\6. General Information\Oil Export Totaliser Error\MR 2019\07.05.2019.xlsx","07.05.2019.xlsx")</f>
        <v>07.05.2019.xlsx</v>
      </c>
      <c r="C129" s="14">
        <v>680956.7</v>
      </c>
      <c r="D129" s="14">
        <v>0</v>
      </c>
      <c r="E129" s="14">
        <v>666500.49891700002</v>
      </c>
      <c r="F129" s="14">
        <v>0</v>
      </c>
      <c r="G129" s="14">
        <v>539877.19528500002</v>
      </c>
      <c r="H129" s="14">
        <v>0</v>
      </c>
      <c r="I129" s="14"/>
      <c r="J129" s="14"/>
    </row>
    <row r="130" spans="1:10" x14ac:dyDescent="0.25">
      <c r="A130" s="7">
        <v>43593</v>
      </c>
      <c r="B130" s="8" t="str">
        <f>HYPERLINK("Y:\Brents\Brent Charlie\Brent Charlie Oil Export\6. General Information\Oil Export Totaliser Error\MR 2019\08.05.2019.xlsx","08.05.2019.xlsx")</f>
        <v>08.05.2019.xlsx</v>
      </c>
      <c r="C130" s="14">
        <v>680956.7</v>
      </c>
      <c r="D130" s="14">
        <v>0</v>
      </c>
      <c r="E130" s="14">
        <v>666500.49891700002</v>
      </c>
      <c r="F130" s="14">
        <v>0</v>
      </c>
      <c r="G130" s="14">
        <v>539877.19528500002</v>
      </c>
      <c r="H130" s="14">
        <v>0</v>
      </c>
      <c r="I130" s="14"/>
      <c r="J130" s="14"/>
    </row>
    <row r="131" spans="1:10" x14ac:dyDescent="0.25">
      <c r="A131" s="7">
        <v>43594</v>
      </c>
      <c r="B131" s="8" t="str">
        <f>HYPERLINK("Y:\Brents\Brent Charlie\Brent Charlie Oil Export\6. General Information\Oil Export Totaliser Error\MR 2019\09.05.2019.xlsx","09.05.2019.xlsx")</f>
        <v>09.05.2019.xlsx</v>
      </c>
      <c r="C131" s="14">
        <v>689736.67500000005</v>
      </c>
      <c r="D131" s="14">
        <v>8779.9459999999999</v>
      </c>
      <c r="E131" s="14">
        <v>675082.26560000004</v>
      </c>
      <c r="F131" s="14">
        <v>8581.7669999999998</v>
      </c>
      <c r="G131" s="14">
        <v>546856.53300000005</v>
      </c>
      <c r="H131" s="14">
        <v>6979.3379999999997</v>
      </c>
      <c r="I131" s="14"/>
      <c r="J131" s="14"/>
    </row>
    <row r="132" spans="1:10" x14ac:dyDescent="0.25">
      <c r="A132" s="7">
        <v>43595</v>
      </c>
      <c r="B132" s="8" t="str">
        <f>HYPERLINK("Y:\Brents\Brent Charlie\Brent Charlie Oil Export\6. General Information\Oil Export Totaliser Error\MR 2019\10.05.2019.xlsx","10.05.2019.xlsx")</f>
        <v>10.05.2019.xlsx</v>
      </c>
      <c r="C132" s="14">
        <v>689736.67500000005</v>
      </c>
      <c r="D132" s="14">
        <v>0</v>
      </c>
      <c r="E132" s="14">
        <v>675082.26560000004</v>
      </c>
      <c r="F132" s="14">
        <v>0</v>
      </c>
      <c r="G132" s="14">
        <v>546856.53300000005</v>
      </c>
      <c r="H132" s="14">
        <v>0</v>
      </c>
      <c r="I132" s="14"/>
      <c r="J132" s="14"/>
    </row>
    <row r="133" spans="1:10" x14ac:dyDescent="0.25">
      <c r="A133" s="7">
        <v>43596</v>
      </c>
      <c r="B133" s="8" t="str">
        <f>HYPERLINK("Y:\Brents\Brent Charlie\Brent Charlie Oil Export\6. General Information\Oil Export Totaliser Error\MR 2019\11.05.2019.xlsx","11.05.2019.xlsx")</f>
        <v>11.05.2019.xlsx</v>
      </c>
      <c r="C133" s="14">
        <v>689736.67500000005</v>
      </c>
      <c r="D133" s="14">
        <v>0</v>
      </c>
      <c r="E133" s="14">
        <v>675082.26560000004</v>
      </c>
      <c r="F133" s="14">
        <v>0</v>
      </c>
      <c r="G133" s="14">
        <v>546856.53300000005</v>
      </c>
      <c r="H133" s="14">
        <v>0</v>
      </c>
      <c r="I133" s="14"/>
      <c r="J133" s="14"/>
    </row>
    <row r="134" spans="1:10" x14ac:dyDescent="0.25">
      <c r="A134" s="7">
        <v>43597</v>
      </c>
      <c r="B134" s="8" t="str">
        <f>HYPERLINK("Y:\Brents\Brent Charlie\Brent Charlie Oil Export\6. General Information\Oil Export Totaliser Error\MR 2019\12.05.2019.xlsx","12.05.2019.xlsx")</f>
        <v>12.05.2019.xlsx</v>
      </c>
      <c r="C134" s="14">
        <v>689736.67500000005</v>
      </c>
      <c r="D134" s="14">
        <v>0</v>
      </c>
      <c r="E134" s="14">
        <v>675082.26560000004</v>
      </c>
      <c r="F134" s="14">
        <v>0</v>
      </c>
      <c r="G134" s="14">
        <v>546856.53300000005</v>
      </c>
      <c r="H134" s="14">
        <v>0</v>
      </c>
      <c r="I134" s="14"/>
      <c r="J134" s="14"/>
    </row>
    <row r="135" spans="1:10" x14ac:dyDescent="0.25">
      <c r="A135" s="7">
        <v>43598</v>
      </c>
      <c r="B135" s="8" t="str">
        <f>HYPERLINK("Y:\Brents\Brent Charlie\Brent Charlie Oil Export\6. General Information\Oil Export Totaliser Error\MR 2019\13.05.2019.xlsx","13.05.2019.xlsx")</f>
        <v>13.05.2019.xlsx</v>
      </c>
      <c r="C135" s="14">
        <v>689736.67500000005</v>
      </c>
      <c r="D135" s="14">
        <v>0</v>
      </c>
      <c r="E135" s="14">
        <v>675082.26560000004</v>
      </c>
      <c r="F135" s="14">
        <v>0</v>
      </c>
      <c r="G135" s="14">
        <v>546856.53300000005</v>
      </c>
      <c r="H135" s="14">
        <v>0</v>
      </c>
      <c r="I135" s="14"/>
      <c r="J135" s="14"/>
    </row>
    <row r="136" spans="1:10" x14ac:dyDescent="0.25">
      <c r="A136" s="7">
        <v>43599</v>
      </c>
      <c r="B136" s="8" t="str">
        <f>HYPERLINK("Y:\Brents\Brent Charlie\Brent Charlie Oil Export\6. General Information\Oil Export Totaliser Error\MR 2019\14.05.2019.xlsx","14.05.2019.xlsx")</f>
        <v>14.05.2019.xlsx</v>
      </c>
      <c r="C136" s="14">
        <v>689736.67500000005</v>
      </c>
      <c r="D136" s="14">
        <v>0</v>
      </c>
      <c r="E136" s="14">
        <v>675082.26560000004</v>
      </c>
      <c r="F136" s="14">
        <v>0</v>
      </c>
      <c r="G136" s="14">
        <v>546856.53300000005</v>
      </c>
      <c r="H136" s="14">
        <v>0</v>
      </c>
      <c r="I136" s="14"/>
      <c r="J136" s="14"/>
    </row>
    <row r="137" spans="1:10" x14ac:dyDescent="0.25">
      <c r="A137" s="7">
        <v>43600</v>
      </c>
      <c r="B137" s="8" t="str">
        <f>HYPERLINK("Y:\Brents\Brent Charlie\Brent Charlie Oil Export\6. General Information\Oil Export Totaliser Error\MR 2019\15.05.2019.xlsx","15.05.2019.xlsx")</f>
        <v>15.05.2019.xlsx</v>
      </c>
      <c r="C137" s="14">
        <v>689736.67500000005</v>
      </c>
      <c r="D137" s="14">
        <v>0</v>
      </c>
      <c r="E137" s="14">
        <v>675082.26560000004</v>
      </c>
      <c r="F137" s="14">
        <v>0</v>
      </c>
      <c r="G137" s="14">
        <v>546856.53300000005</v>
      </c>
      <c r="H137" s="14">
        <v>0</v>
      </c>
      <c r="I137" s="14"/>
      <c r="J137" s="14"/>
    </row>
    <row r="138" spans="1:10" x14ac:dyDescent="0.25">
      <c r="A138" s="7">
        <v>43601</v>
      </c>
      <c r="B138" s="8" t="str">
        <f>HYPERLINK("Y:\Brents\Brent Charlie\Brent Charlie Oil Export\6. General Information\Oil Export Totaliser Error\MR 2019\16.05.2019.xlsx","16.05.2019.xlsx")</f>
        <v>16.05.2019.xlsx</v>
      </c>
      <c r="C138" s="14">
        <v>689736.67500000005</v>
      </c>
      <c r="D138" s="14">
        <v>0</v>
      </c>
      <c r="E138" s="14">
        <v>675082.26560000004</v>
      </c>
      <c r="F138" s="14">
        <v>0</v>
      </c>
      <c r="G138" s="14">
        <v>546856.53300000005</v>
      </c>
      <c r="H138" s="14">
        <v>0</v>
      </c>
      <c r="I138" s="14"/>
      <c r="J138" s="14"/>
    </row>
    <row r="139" spans="1:10" x14ac:dyDescent="0.25">
      <c r="A139" s="7">
        <v>43602</v>
      </c>
      <c r="B139" s="8" t="str">
        <f>HYPERLINK("Y:\Brents\Brent Charlie\Brent Charlie Oil Export\6. General Information\Oil Export Totaliser Error\MR 2019\17.05.2019.xlsx","17.05.2019.xlsx")</f>
        <v>17.05.2019.xlsx</v>
      </c>
      <c r="C139" s="14">
        <v>689736.67500000005</v>
      </c>
      <c r="D139" s="14">
        <v>0</v>
      </c>
      <c r="E139" s="14">
        <v>675082.26560000004</v>
      </c>
      <c r="F139" s="14">
        <v>0</v>
      </c>
      <c r="G139" s="14">
        <v>546856.53300000005</v>
      </c>
      <c r="H139" s="14">
        <v>0</v>
      </c>
      <c r="I139" s="14"/>
      <c r="J139" s="14"/>
    </row>
    <row r="140" spans="1:10" x14ac:dyDescent="0.25">
      <c r="A140" s="7">
        <v>43603</v>
      </c>
      <c r="B140" s="8" t="str">
        <f>HYPERLINK("Y:\Brents\Brent Charlie\Brent Charlie Oil Export\6. General Information\Oil Export Totaliser Error\MR 2019\18.05.2019.xlsx","18.05.2019.xlsx")</f>
        <v>18.05.2019.xlsx</v>
      </c>
      <c r="C140" s="14">
        <v>689736.67500000005</v>
      </c>
      <c r="D140" s="14">
        <v>0</v>
      </c>
      <c r="E140" s="14">
        <v>675082.26560000004</v>
      </c>
      <c r="F140" s="14">
        <v>0</v>
      </c>
      <c r="G140" s="14">
        <v>546856.53300000005</v>
      </c>
      <c r="H140" s="14">
        <v>0</v>
      </c>
      <c r="I140" s="14"/>
      <c r="J140" s="14"/>
    </row>
    <row r="141" spans="1:10" x14ac:dyDescent="0.25">
      <c r="A141" s="7">
        <v>43604</v>
      </c>
      <c r="B141" s="8" t="str">
        <f>HYPERLINK("Y:\Brents\Brent Charlie\Brent Charlie Oil Export\6. General Information\Oil Export Totaliser Error\MR 2019\19.05.2019.xlsx","19.05.2019.xlsx")</f>
        <v>19.05.2019.xlsx</v>
      </c>
      <c r="C141" s="14">
        <v>689736.67500000005</v>
      </c>
      <c r="D141" s="14">
        <v>0</v>
      </c>
      <c r="E141" s="14">
        <v>675082.26560000004</v>
      </c>
      <c r="F141" s="14">
        <v>0</v>
      </c>
      <c r="G141" s="14">
        <v>546856.53300000005</v>
      </c>
      <c r="H141" s="14">
        <v>0</v>
      </c>
      <c r="I141" s="14"/>
      <c r="J141" s="14"/>
    </row>
    <row r="142" spans="1:10" x14ac:dyDescent="0.25">
      <c r="A142" s="7">
        <v>43605</v>
      </c>
      <c r="B142" s="8" t="str">
        <f>HYPERLINK("Y:\Brents\Brent Charlie\Brent Charlie Oil Export\6. General Information\Oil Export Totaliser Error\MR 2019\20.05.2019.xlsx","20.05.2019.xlsx")</f>
        <v>20.05.2019.xlsx</v>
      </c>
      <c r="C142" s="14">
        <v>689736.67500000005</v>
      </c>
      <c r="D142" s="14">
        <v>0</v>
      </c>
      <c r="E142" s="14">
        <v>675082.26560000004</v>
      </c>
      <c r="F142" s="14">
        <v>0</v>
      </c>
      <c r="G142" s="14">
        <v>546856.53300000005</v>
      </c>
      <c r="H142" s="14">
        <v>0</v>
      </c>
      <c r="I142" s="14"/>
      <c r="J142" s="14"/>
    </row>
    <row r="143" spans="1:10" x14ac:dyDescent="0.25">
      <c r="A143" s="7">
        <v>43606</v>
      </c>
      <c r="B143" s="8" t="str">
        <f>HYPERLINK("Y:\Brents\Brent Charlie\Brent Charlie Oil Export\6. General Information\Oil Export Totaliser Error\MR 2019\21.05.2019.xlsx","21.05.2019.xlsx")</f>
        <v>21.05.2019.xlsx</v>
      </c>
      <c r="C143" s="14">
        <v>689736.67500000005</v>
      </c>
      <c r="D143" s="14">
        <v>0</v>
      </c>
      <c r="E143" s="14">
        <v>675082.26560000004</v>
      </c>
      <c r="F143" s="14">
        <v>0</v>
      </c>
      <c r="G143" s="14">
        <v>546856.53300000005</v>
      </c>
      <c r="H143" s="14">
        <v>0</v>
      </c>
      <c r="I143" s="14"/>
      <c r="J143" s="14"/>
    </row>
    <row r="144" spans="1:10" x14ac:dyDescent="0.25">
      <c r="A144" s="7">
        <v>43607</v>
      </c>
      <c r="B144" s="8" t="str">
        <f>HYPERLINK("Y:\Brents\Brent Charlie\Brent Charlie Oil Export\6. General Information\Oil Export Totaliser Error\MR 2019\22.05.2019.xlsx","22.05.2019.xlsx")</f>
        <v>22.05.2019.xlsx</v>
      </c>
      <c r="C144" s="14">
        <v>689736.67500000005</v>
      </c>
      <c r="D144" s="14">
        <v>0</v>
      </c>
      <c r="E144" s="14">
        <v>675082.26560000004</v>
      </c>
      <c r="F144" s="14">
        <v>0</v>
      </c>
      <c r="G144" s="14">
        <v>546856.53300000005</v>
      </c>
      <c r="H144" s="14">
        <v>0</v>
      </c>
      <c r="I144" s="14"/>
      <c r="J144" s="14"/>
    </row>
    <row r="145" spans="1:10" x14ac:dyDescent="0.25">
      <c r="A145" s="7">
        <v>43608</v>
      </c>
      <c r="B145" s="8" t="str">
        <f>HYPERLINK("Y:\Brents\Brent Charlie\Brent Charlie Oil Export\6. General Information\Oil Export Totaliser Error\MR 2019\23.05.2019.xlsx","23.05.2019.xlsx")</f>
        <v>23.05.2019.xlsx</v>
      </c>
      <c r="C145" s="14">
        <v>689736.67500000005</v>
      </c>
      <c r="D145" s="14">
        <v>0</v>
      </c>
      <c r="E145" s="14">
        <v>675082.26560000004</v>
      </c>
      <c r="F145" s="14">
        <v>0</v>
      </c>
      <c r="G145" s="14">
        <v>546856.53300000005</v>
      </c>
      <c r="H145" s="14">
        <v>0</v>
      </c>
      <c r="I145" s="14"/>
      <c r="J145" s="14"/>
    </row>
    <row r="146" spans="1:10" x14ac:dyDescent="0.25">
      <c r="A146" s="7">
        <v>43609</v>
      </c>
      <c r="B146" s="8" t="str">
        <f>HYPERLINK("Y:\Brents\Brent Charlie\Brent Charlie Oil Export\6. General Information\Oil Export Totaliser Error\MR 2019\24.05.2019.xlsx","24.05.2019.xlsx")</f>
        <v>24.05.2019.xlsx</v>
      </c>
      <c r="C146" s="14">
        <v>689736.67500000005</v>
      </c>
      <c r="D146" s="14">
        <v>0</v>
      </c>
      <c r="E146" s="14">
        <v>675082.26560000004</v>
      </c>
      <c r="F146" s="14">
        <v>0</v>
      </c>
      <c r="G146" s="14">
        <v>546856.53300000005</v>
      </c>
      <c r="H146" s="14">
        <v>0</v>
      </c>
      <c r="I146" s="14"/>
      <c r="J146" s="14"/>
    </row>
    <row r="147" spans="1:10" x14ac:dyDescent="0.25">
      <c r="A147" s="7">
        <v>43610</v>
      </c>
      <c r="B147" s="8" t="str">
        <f>HYPERLINK("Y:\Brents\Brent Charlie\Brent Charlie Oil Export\6. General Information\Oil Export Totaliser Error\MR 2019\25.05.2019.xlsx","25.05.2019.xlsx")</f>
        <v>25.05.2019.xlsx</v>
      </c>
      <c r="C147" s="14">
        <v>693001.54542700003</v>
      </c>
      <c r="D147" s="14">
        <v>3262.877</v>
      </c>
      <c r="E147" s="14">
        <v>678268.95059799997</v>
      </c>
      <c r="F147" s="14">
        <v>3184.7289999999998</v>
      </c>
      <c r="G147" s="14">
        <v>549430.048832</v>
      </c>
      <c r="H147" s="14">
        <v>2571.924</v>
      </c>
      <c r="I147" s="14"/>
      <c r="J147" s="14"/>
    </row>
    <row r="148" spans="1:10" x14ac:dyDescent="0.25">
      <c r="A148" s="7">
        <v>43611</v>
      </c>
      <c r="B148" s="8" t="str">
        <f>HYPERLINK("Y:\Brents\Brent Charlie\Brent Charlie Oil Export\6. General Information\Oil Export Totaliser Error\MR 2019\26.05.2019.xlsx","26.05.2019.xlsx")</f>
        <v>26.05.2019.xlsx</v>
      </c>
      <c r="C148" s="14">
        <v>693001.54542700003</v>
      </c>
      <c r="D148" s="14">
        <v>0</v>
      </c>
      <c r="E148" s="14">
        <v>678268.95059799997</v>
      </c>
      <c r="F148" s="14">
        <v>0</v>
      </c>
      <c r="G148" s="14">
        <v>549430.048832</v>
      </c>
      <c r="H148" s="14">
        <v>0</v>
      </c>
      <c r="I148" s="14"/>
      <c r="J148" s="14"/>
    </row>
    <row r="149" spans="1:10" x14ac:dyDescent="0.25">
      <c r="A149" s="7">
        <v>43612</v>
      </c>
      <c r="B149" s="8" t="str">
        <f>HYPERLINK("Y:\Brents\Brent Charlie\Brent Charlie Oil Export\6. General Information\Oil Export Totaliser Error\MR 2019\27.05.2019.xlsx","27.05.2019.xlsx")</f>
        <v>27.05.2019.xlsx</v>
      </c>
      <c r="C149" s="14">
        <v>693001.54542700003</v>
      </c>
      <c r="D149" s="14">
        <v>0</v>
      </c>
      <c r="E149" s="14">
        <v>678268.95059799997</v>
      </c>
      <c r="F149" s="14">
        <v>0</v>
      </c>
      <c r="G149" s="14">
        <v>549430.048832</v>
      </c>
      <c r="H149" s="14">
        <v>0</v>
      </c>
      <c r="I149" s="14"/>
      <c r="J149" s="14"/>
    </row>
    <row r="150" spans="1:10" x14ac:dyDescent="0.25">
      <c r="A150" s="7">
        <v>43613</v>
      </c>
      <c r="B150" s="8" t="str">
        <f>HYPERLINK("Y:\Brents\Brent Charlie\Brent Charlie Oil Export\6. General Information\Oil Export Totaliser Error\MR 2019\28.05.2019.xlsx","28.05.2019.xlsx")</f>
        <v>28.05.2019.xlsx</v>
      </c>
      <c r="C150" s="14">
        <v>693001.54542700003</v>
      </c>
      <c r="D150" s="14">
        <v>0</v>
      </c>
      <c r="E150" s="14">
        <v>678268.95059799997</v>
      </c>
      <c r="F150" s="14">
        <v>0</v>
      </c>
      <c r="G150" s="14">
        <v>549430.048832</v>
      </c>
      <c r="H150" s="14">
        <v>0</v>
      </c>
      <c r="I150" s="14"/>
      <c r="J150" s="14"/>
    </row>
    <row r="151" spans="1:10" x14ac:dyDescent="0.25">
      <c r="A151" s="7">
        <v>43614</v>
      </c>
      <c r="B151" s="8" t="str">
        <f>HYPERLINK("Y:\Brents\Brent Charlie\Brent Charlie Oil Export\6. General Information\Oil Export Totaliser Error\MR 2019\29.05.2019.xlsx","29.05.2019.xlsx")</f>
        <v>29.05.2019.xlsx</v>
      </c>
      <c r="C151" s="14">
        <v>693001.54542700003</v>
      </c>
      <c r="D151" s="14">
        <v>0</v>
      </c>
      <c r="E151" s="14">
        <v>678268.95059799997</v>
      </c>
      <c r="F151" s="14">
        <v>0</v>
      </c>
      <c r="G151" s="14">
        <v>549430.048832</v>
      </c>
      <c r="H151" s="14">
        <v>0</v>
      </c>
      <c r="I151" s="14"/>
      <c r="J151" s="14"/>
    </row>
    <row r="152" spans="1:10" x14ac:dyDescent="0.25">
      <c r="A152" s="7">
        <v>43615</v>
      </c>
      <c r="B152" s="8" t="str">
        <f>HYPERLINK("Y:\Brents\Brent Charlie\Brent Charlie Oil Export\6. General Information\Oil Export Totaliser Error\MR 2019\30.05.2019.xlsx","30.05.2019.xlsx")</f>
        <v>30.05.2019.xlsx</v>
      </c>
      <c r="C152" s="14">
        <v>693001.54542700003</v>
      </c>
      <c r="D152" s="14">
        <v>0</v>
      </c>
      <c r="E152" s="14">
        <v>678268.95059799997</v>
      </c>
      <c r="F152" s="14">
        <v>0</v>
      </c>
      <c r="G152" s="14">
        <v>549430.048832</v>
      </c>
      <c r="H152" s="14">
        <v>0</v>
      </c>
      <c r="I152" s="14"/>
      <c r="J152" s="14"/>
    </row>
    <row r="153" spans="1:10" x14ac:dyDescent="0.25">
      <c r="A153" s="7">
        <v>43616</v>
      </c>
      <c r="B153" s="8" t="str">
        <f>HYPERLINK("Y:\Brents\Brent Charlie\Brent Charlie Oil Export\6. General Information\Oil Export Totaliser Error\MR 2019\31.05.2019.xlsx","31.05.2019.xlsx")</f>
        <v>31.05.2019.xlsx</v>
      </c>
      <c r="C153" s="14">
        <v>693001.54542700003</v>
      </c>
      <c r="D153" s="14">
        <v>0</v>
      </c>
      <c r="E153" s="14">
        <v>678268.95059799997</v>
      </c>
      <c r="F153" s="14">
        <v>0</v>
      </c>
      <c r="G153" s="14">
        <v>549430.048832</v>
      </c>
      <c r="H153" s="14">
        <v>0</v>
      </c>
      <c r="I153" s="14"/>
      <c r="J153" s="14"/>
    </row>
    <row r="154" spans="1:10" x14ac:dyDescent="0.25">
      <c r="A154" s="7">
        <v>43617</v>
      </c>
      <c r="B154" s="8" t="str">
        <f>HYPERLINK("Y:\Brents\Brent Charlie\Brent Charlie Oil Export\6. General Information\Oil Export Totaliser Error\MR 2019\01.06.2019.xlsx","01.06.2019.xlsx")</f>
        <v>01.06.2019.xlsx</v>
      </c>
      <c r="C154" s="14">
        <v>693001.54542700003</v>
      </c>
      <c r="D154" s="14">
        <v>0</v>
      </c>
      <c r="E154" s="14">
        <v>678268.95059799997</v>
      </c>
      <c r="F154" s="14">
        <v>0</v>
      </c>
      <c r="G154" s="14">
        <v>549430.048832</v>
      </c>
      <c r="H154" s="14">
        <v>0</v>
      </c>
      <c r="I154" s="14"/>
      <c r="J154" s="14"/>
    </row>
    <row r="155" spans="1:10" x14ac:dyDescent="0.25">
      <c r="A155" s="7">
        <v>43618</v>
      </c>
      <c r="B155" s="8" t="str">
        <f>HYPERLINK("Y:\Brents\Brent Charlie\Brent Charlie Oil Export\6. General Information\Oil Export Totaliser Error\MR 2019\02.06.2019.xlsx","02.06.2019.xlsx")</f>
        <v>02.06.2019.xlsx</v>
      </c>
      <c r="C155" s="14">
        <v>693001.54542700003</v>
      </c>
      <c r="D155" s="14">
        <v>0</v>
      </c>
      <c r="E155" s="14">
        <v>678268.95059799997</v>
      </c>
      <c r="F155" s="14">
        <v>0</v>
      </c>
      <c r="G155" s="14">
        <v>549430.048832</v>
      </c>
      <c r="H155" s="14">
        <v>0</v>
      </c>
      <c r="I155" s="14"/>
      <c r="J155" s="14"/>
    </row>
    <row r="156" spans="1:10" x14ac:dyDescent="0.25">
      <c r="A156" s="7">
        <v>43619</v>
      </c>
      <c r="B156" s="8" t="str">
        <f>HYPERLINK("Y:\Brents\Brent Charlie\Brent Charlie Oil Export\6. General Information\Oil Export Totaliser Error\MR 2019\03.06.2019.xlsx","03.06.2019.xlsx")</f>
        <v>03.06.2019.xlsx</v>
      </c>
      <c r="C156" s="14">
        <v>693001.54542700003</v>
      </c>
      <c r="D156" s="14">
        <v>0</v>
      </c>
      <c r="E156" s="14">
        <v>678268.95059799997</v>
      </c>
      <c r="F156" s="14">
        <v>0</v>
      </c>
      <c r="G156" s="14">
        <v>549430.048832</v>
      </c>
      <c r="H156" s="14">
        <v>0</v>
      </c>
      <c r="I156" s="14"/>
      <c r="J156" s="14"/>
    </row>
    <row r="157" spans="1:10" x14ac:dyDescent="0.25">
      <c r="A157" s="7">
        <v>43620</v>
      </c>
      <c r="B157" s="8" t="str">
        <f>HYPERLINK("Y:\Brents\Brent Charlie\Brent Charlie Oil Export\6. General Information\Oil Export Totaliser Error\MR 2019\04.06.2019.xlsx","04.06.2019.xlsx")</f>
        <v>04.06.2019.xlsx</v>
      </c>
      <c r="C157" s="14">
        <v>693001.54542700003</v>
      </c>
      <c r="D157" s="14">
        <v>0</v>
      </c>
      <c r="E157" s="14">
        <v>678268.95059799997</v>
      </c>
      <c r="F157" s="14">
        <v>0</v>
      </c>
      <c r="G157" s="14">
        <v>549430.048832</v>
      </c>
      <c r="H157" s="14">
        <v>0</v>
      </c>
      <c r="I157" s="14"/>
      <c r="J157" s="14"/>
    </row>
    <row r="158" spans="1:10" x14ac:dyDescent="0.25">
      <c r="A158" s="7">
        <v>43621</v>
      </c>
      <c r="B158" s="8" t="str">
        <f>HYPERLINK("Y:\Brents\Brent Charlie\Brent Charlie Oil Export\6. General Information\Oil Export Totaliser Error\MR 2019\05.06.2019.xlsx","05.06.2019.xlsx")</f>
        <v>05.06.2019.xlsx</v>
      </c>
      <c r="C158" s="14">
        <v>3262.88</v>
      </c>
      <c r="D158" s="14">
        <v>0</v>
      </c>
      <c r="E158" s="14">
        <v>3184.73</v>
      </c>
      <c r="F158" s="14">
        <v>0</v>
      </c>
      <c r="G158" s="14">
        <v>2571.92</v>
      </c>
      <c r="H158" s="14">
        <v>0</v>
      </c>
      <c r="I158" s="14"/>
      <c r="J158" s="14"/>
    </row>
    <row r="159" spans="1:10" x14ac:dyDescent="0.25">
      <c r="A159" s="7">
        <v>43622</v>
      </c>
      <c r="B159" s="8" t="str">
        <f>HYPERLINK("Y:\Brents\Brent Charlie\Brent Charlie Oil Export\6. General Information\Oil Export Totaliser Error\MR 2019\06.06.2019.xlsx","06.06.2019.xlsx")</f>
        <v>06.06.2019.xlsx</v>
      </c>
      <c r="C159" s="14">
        <v>3262.88</v>
      </c>
      <c r="D159" s="14">
        <v>0</v>
      </c>
      <c r="E159" s="14">
        <v>3184.73</v>
      </c>
      <c r="F159" s="14">
        <v>0</v>
      </c>
      <c r="G159" s="14">
        <v>2571.92</v>
      </c>
      <c r="H159" s="14">
        <v>0</v>
      </c>
      <c r="I159" s="14"/>
      <c r="J159" s="14"/>
    </row>
    <row r="160" spans="1:10" x14ac:dyDescent="0.25">
      <c r="A160" s="7">
        <v>43623</v>
      </c>
      <c r="B160" s="8" t="str">
        <f>HYPERLINK("Y:\Brents\Brent Charlie\Brent Charlie Oil Export\6. General Information\Oil Export Totaliser Error\MR 2019\07.06.2019.xlsx","07.06.2019.xlsx")</f>
        <v>07.06.2019.xlsx</v>
      </c>
      <c r="C160" s="14">
        <v>3262.88</v>
      </c>
      <c r="D160" s="14">
        <v>0</v>
      </c>
      <c r="E160" s="14">
        <v>3184.73</v>
      </c>
      <c r="F160" s="14">
        <v>0</v>
      </c>
      <c r="G160" s="14">
        <v>2571.92</v>
      </c>
      <c r="H160" s="14">
        <v>0</v>
      </c>
      <c r="I160" s="14"/>
      <c r="J160" s="14"/>
    </row>
    <row r="161" spans="1:10" x14ac:dyDescent="0.25">
      <c r="A161" s="7">
        <v>43624</v>
      </c>
      <c r="B161" s="8" t="str">
        <f>HYPERLINK("Y:\Brents\Brent Charlie\Brent Charlie Oil Export\6. General Information\Oil Export Totaliser Error\MR 2019\08.06.2019.xlsx","08.06.2019.xlsx")</f>
        <v>08.06.2019.xlsx</v>
      </c>
      <c r="C161" s="14">
        <v>3262.88</v>
      </c>
      <c r="D161" s="14">
        <v>0</v>
      </c>
      <c r="E161" s="14">
        <v>3184.73</v>
      </c>
      <c r="F161" s="14">
        <v>0</v>
      </c>
      <c r="G161" s="14">
        <v>2571.92</v>
      </c>
      <c r="H161" s="14">
        <v>0</v>
      </c>
      <c r="I161" s="14"/>
      <c r="J161" s="14"/>
    </row>
    <row r="162" spans="1:10" x14ac:dyDescent="0.25">
      <c r="A162" s="7">
        <v>43625</v>
      </c>
      <c r="B162" s="8" t="str">
        <f>HYPERLINK("Y:\Brents\Brent Charlie\Brent Charlie Oil Export\6. General Information\Oil Export Totaliser Error\MR 2019\09.06.2019.xlsx","09.06.2019.xlsx")</f>
        <v>09.06.2019.xlsx</v>
      </c>
      <c r="C162" s="14">
        <v>3262.88</v>
      </c>
      <c r="D162" s="14">
        <v>0</v>
      </c>
      <c r="E162" s="14">
        <v>3184.73</v>
      </c>
      <c r="F162" s="14">
        <v>0</v>
      </c>
      <c r="G162" s="14">
        <v>2571.92</v>
      </c>
      <c r="H162" s="14">
        <v>0</v>
      </c>
      <c r="I162" s="14"/>
      <c r="J162" s="14"/>
    </row>
    <row r="163" spans="1:10" x14ac:dyDescent="0.25">
      <c r="A163" s="7">
        <v>43626</v>
      </c>
      <c r="B163" s="8" t="str">
        <f>HYPERLINK("Y:\Brents\Brent Charlie\Brent Charlie Oil Export\6. General Information\Oil Export Totaliser Error\MR 2019\10.06.2019.xlsx","10.06.2019.xlsx")</f>
        <v>10.06.2019.xlsx</v>
      </c>
      <c r="C163" s="14">
        <v>3262.88</v>
      </c>
      <c r="D163" s="14">
        <v>0</v>
      </c>
      <c r="E163" s="14">
        <v>3184.73</v>
      </c>
      <c r="F163" s="14">
        <v>0</v>
      </c>
      <c r="G163" s="14">
        <v>2571.92</v>
      </c>
      <c r="H163" s="14">
        <v>0</v>
      </c>
      <c r="I163" s="14"/>
      <c r="J163" s="14"/>
    </row>
    <row r="164" spans="1:10" x14ac:dyDescent="0.25">
      <c r="A164" s="7">
        <v>43627</v>
      </c>
      <c r="B164" s="8" t="str">
        <f>HYPERLINK("Y:\Brents\Brent Charlie\Brent Charlie Oil Export\6. General Information\Oil Export Totaliser Error\MR 2019\11.06.2019.xlsx","11.06.2019.xlsx")</f>
        <v>11.06.2019.xlsx</v>
      </c>
      <c r="C164" s="14">
        <v>3262.88</v>
      </c>
      <c r="D164" s="14">
        <v>0</v>
      </c>
      <c r="E164" s="14">
        <v>3184.73</v>
      </c>
      <c r="F164" s="14">
        <v>0</v>
      </c>
      <c r="G164" s="14">
        <v>2571.92</v>
      </c>
      <c r="H164" s="14">
        <v>0</v>
      </c>
      <c r="I164" s="14"/>
      <c r="J164" s="14"/>
    </row>
    <row r="165" spans="1:10" x14ac:dyDescent="0.25">
      <c r="A165" s="7">
        <v>43628</v>
      </c>
      <c r="B165" s="8" t="str">
        <f>HYPERLINK("Y:\Brents\Brent Charlie\Brent Charlie Oil Export\6. General Information\Oil Export Totaliser Error\MR 2019\12.06.2019.xlsx","12.06.2019.xlsx")</f>
        <v>12.06.2019.xlsx</v>
      </c>
      <c r="C165" s="14">
        <v>3262.88</v>
      </c>
      <c r="D165" s="14">
        <v>0</v>
      </c>
      <c r="E165" s="14">
        <v>3184.73</v>
      </c>
      <c r="F165" s="14">
        <v>0</v>
      </c>
      <c r="G165" s="14">
        <v>2571.92</v>
      </c>
      <c r="H165" s="14">
        <v>0</v>
      </c>
      <c r="I165" s="14"/>
      <c r="J165" s="14"/>
    </row>
    <row r="166" spans="1:10" x14ac:dyDescent="0.25">
      <c r="A166" s="7">
        <v>43629</v>
      </c>
      <c r="B166" s="8" t="str">
        <f>HYPERLINK("Y:\Brents\Brent Charlie\Brent Charlie Oil Export\6. General Information\Oil Export Totaliser Error\MR 2019\13.06.2019.xlsx","13.06.2019.xlsx")</f>
        <v>13.06.2019.xlsx</v>
      </c>
      <c r="C166" s="14">
        <v>3262.88</v>
      </c>
      <c r="D166" s="14">
        <v>0</v>
      </c>
      <c r="E166" s="14">
        <v>3184.73</v>
      </c>
      <c r="F166" s="14">
        <v>0</v>
      </c>
      <c r="G166" s="14">
        <v>2571.92</v>
      </c>
      <c r="H166" s="14">
        <v>0</v>
      </c>
      <c r="I166" s="14"/>
      <c r="J166" s="14"/>
    </row>
    <row r="167" spans="1:10" x14ac:dyDescent="0.25">
      <c r="A167" s="7">
        <v>43630</v>
      </c>
      <c r="B167" s="8" t="str">
        <f>HYPERLINK("Y:\Brents\Brent Charlie\Brent Charlie Oil Export\6. General Information\Oil Export Totaliser Error\MR 2019\14.06.2019.xlsx","14.06.2019.xlsx")</f>
        <v>14.06.2019.xlsx</v>
      </c>
      <c r="C167" s="14">
        <v>6150.9433429999999</v>
      </c>
      <c r="D167" s="14">
        <v>2888.0659999999998</v>
      </c>
      <c r="E167" s="14">
        <v>6004.93</v>
      </c>
      <c r="F167" s="14">
        <v>2820.201</v>
      </c>
      <c r="G167" s="14">
        <v>4860.53</v>
      </c>
      <c r="H167" s="14">
        <v>2288.6109999999999</v>
      </c>
      <c r="I167" s="14"/>
      <c r="J167" s="14"/>
    </row>
    <row r="168" spans="1:10" x14ac:dyDescent="0.25">
      <c r="A168" s="7">
        <v>43631</v>
      </c>
      <c r="B168" s="8" t="str">
        <f>HYPERLINK("Y:\Brents\Brent Charlie\Brent Charlie Oil Export\6. General Information\Oil Export Totaliser Error\MR 2019\15.06.2019.xlsx","15.06.2019.xlsx")</f>
        <v>15.06.2019.xlsx</v>
      </c>
      <c r="C168" s="14">
        <v>8999.8644339999992</v>
      </c>
      <c r="D168" s="14">
        <v>2848.92</v>
      </c>
      <c r="E168" s="14">
        <v>8793.6081780000004</v>
      </c>
      <c r="F168" s="14">
        <v>2788.68</v>
      </c>
      <c r="G168" s="14">
        <v>7121.3681530000003</v>
      </c>
      <c r="H168" s="14">
        <v>2260.83</v>
      </c>
      <c r="I168" s="14"/>
      <c r="J168" s="14"/>
    </row>
    <row r="169" spans="1:10" x14ac:dyDescent="0.25">
      <c r="A169" s="7">
        <v>43632</v>
      </c>
      <c r="B169" s="8" t="str">
        <f>HYPERLINK("Y:\Brents\Brent Charlie\Brent Charlie Oil Export\6. General Information\Oil Export Totaliser Error\MR 2019\16.06.2019.xlsx","16.06.2019.xlsx")</f>
        <v>16.06.2019.xlsx</v>
      </c>
      <c r="C169" s="14">
        <v>8999.8644339999992</v>
      </c>
      <c r="D169" s="14">
        <v>0</v>
      </c>
      <c r="E169" s="14">
        <v>8793.6081780000004</v>
      </c>
      <c r="F169" s="14">
        <v>0</v>
      </c>
      <c r="G169" s="14">
        <v>7121.3681530000003</v>
      </c>
      <c r="H169" s="14">
        <v>0</v>
      </c>
      <c r="I169" s="14"/>
      <c r="J169" s="14"/>
    </row>
    <row r="170" spans="1:10" x14ac:dyDescent="0.25">
      <c r="A170" s="7">
        <v>43633</v>
      </c>
      <c r="B170" s="8" t="str">
        <f>HYPERLINK("Y:\Brents\Brent Charlie\Brent Charlie Oil Export\6. General Information\Oil Export Totaliser Error\MR 2019\17.06.2019.xlsx","17.06.2019.xlsx")</f>
        <v>17.06.2019.xlsx</v>
      </c>
      <c r="C170" s="14">
        <v>11643.107071</v>
      </c>
      <c r="D170" s="14">
        <v>2643.25</v>
      </c>
      <c r="E170" s="14">
        <v>11378.8</v>
      </c>
      <c r="F170" s="14">
        <v>2585.19</v>
      </c>
      <c r="G170" s="14">
        <v>9222.89</v>
      </c>
      <c r="H170" s="14">
        <v>2101.5300000000002</v>
      </c>
      <c r="I170" s="14"/>
      <c r="J170" s="14"/>
    </row>
    <row r="171" spans="1:10" x14ac:dyDescent="0.25">
      <c r="A171" s="7">
        <v>43634</v>
      </c>
      <c r="B171" s="8" t="str">
        <f>HYPERLINK("Y:\Brents\Brent Charlie\Brent Charlie Oil Export\6. General Information\Oil Export Totaliser Error\MR 2019\18.06.2019.xlsx","18.06.2019.xlsx")</f>
        <v>18.06.2019.xlsx</v>
      </c>
      <c r="C171" s="14">
        <v>16656.159377</v>
      </c>
      <c r="D171" s="14">
        <v>5013.0519999999997</v>
      </c>
      <c r="E171" s="14">
        <v>16291.726506000001</v>
      </c>
      <c r="F171" s="14">
        <v>4912.9309999999996</v>
      </c>
      <c r="G171" s="14">
        <v>13215.259192</v>
      </c>
      <c r="H171" s="14">
        <v>3992.364</v>
      </c>
      <c r="I171" s="14"/>
      <c r="J171" s="14"/>
    </row>
    <row r="172" spans="1:10" x14ac:dyDescent="0.25">
      <c r="A172" s="7">
        <v>43635</v>
      </c>
      <c r="B172" s="8" t="str">
        <f>HYPERLINK("Y:\Brents\Brent Charlie\Brent Charlie Oil Export\6. General Information\Oil Export Totaliser Error\MR 2019\19.06.2019.xlsx","19.06.2019.xlsx")</f>
        <v>19.06.2019.xlsx</v>
      </c>
      <c r="C172" s="14">
        <v>21624.45</v>
      </c>
      <c r="D172" s="14">
        <v>4968.29</v>
      </c>
      <c r="E172" s="14">
        <v>21157.91</v>
      </c>
      <c r="F172" s="14">
        <v>4866.18</v>
      </c>
      <c r="G172" s="14">
        <v>17164.59</v>
      </c>
      <c r="H172" s="14">
        <v>3949.33</v>
      </c>
      <c r="I172" s="14"/>
      <c r="J172" s="14"/>
    </row>
    <row r="173" spans="1:10" x14ac:dyDescent="0.25">
      <c r="A173" s="7">
        <v>43636</v>
      </c>
      <c r="B173" s="8" t="str">
        <f>HYPERLINK("Y:\Brents\Brent Charlie\Brent Charlie Oil Export\6. General Information\Oil Export Totaliser Error\MR 2019\20.06.2019.xlsx","20.06.2019.xlsx")</f>
        <v>20.06.2019.xlsx</v>
      </c>
      <c r="C173" s="14">
        <v>24523.653999999999</v>
      </c>
      <c r="D173" s="14">
        <v>2899.2080000000001</v>
      </c>
      <c r="E173" s="14">
        <v>23986.423999999999</v>
      </c>
      <c r="F173" s="14">
        <v>2828.1329999999998</v>
      </c>
      <c r="G173" s="14">
        <v>19463.78</v>
      </c>
      <c r="H173" s="14">
        <v>2299.1869999999999</v>
      </c>
      <c r="I173" s="14"/>
      <c r="J173" s="14"/>
    </row>
    <row r="174" spans="1:10" x14ac:dyDescent="0.25">
      <c r="A174" s="7">
        <v>43637</v>
      </c>
      <c r="B174" s="8" t="str">
        <f>HYPERLINK("Y:\Brents\Brent Charlie\Brent Charlie Oil Export\6. General Information\Oil Export Totaliser Error\MR 2019\21.06.2019.xlsx","21.06.2019.xlsx")</f>
        <v>21.06.2019.xlsx</v>
      </c>
      <c r="C174" s="14">
        <v>24523.653999999999</v>
      </c>
      <c r="D174" s="14">
        <v>0</v>
      </c>
      <c r="E174" s="14">
        <v>23986.423999999999</v>
      </c>
      <c r="F174" s="14">
        <v>0</v>
      </c>
      <c r="G174" s="14">
        <v>19463.78</v>
      </c>
      <c r="H174" s="14">
        <v>0</v>
      </c>
      <c r="I174" s="14"/>
      <c r="J174" s="14"/>
    </row>
    <row r="175" spans="1:10" x14ac:dyDescent="0.25">
      <c r="A175" s="7">
        <v>43638</v>
      </c>
      <c r="B175" s="8" t="str">
        <f>HYPERLINK("Y:\Brents\Brent Charlie\Brent Charlie Oil Export\6. General Information\Oil Export Totaliser Error\MR 2019\22.06.2019.xlsx","22.06.2019.xlsx")</f>
        <v>22.06.2019.xlsx</v>
      </c>
      <c r="C175" s="14">
        <v>24523.653999999999</v>
      </c>
      <c r="D175" s="14">
        <v>0</v>
      </c>
      <c r="E175" s="14">
        <v>23986.423999999999</v>
      </c>
      <c r="F175" s="14">
        <v>0</v>
      </c>
      <c r="G175" s="14">
        <v>19463.78</v>
      </c>
      <c r="H175" s="14">
        <v>0</v>
      </c>
      <c r="I175" s="14"/>
      <c r="J175" s="14"/>
    </row>
    <row r="176" spans="1:10" x14ac:dyDescent="0.25">
      <c r="A176" s="7">
        <v>43639</v>
      </c>
      <c r="B176" s="8" t="str">
        <f>HYPERLINK("Y:\Brents\Brent Charlie\Brent Charlie Oil Export\6. General Information\Oil Export Totaliser Error\MR 2019\23.06.2019.xlsx","23.06.2019.xlsx")</f>
        <v>23.06.2019.xlsx</v>
      </c>
      <c r="C176" s="14">
        <v>24523.653999999999</v>
      </c>
      <c r="D176" s="14">
        <v>0</v>
      </c>
      <c r="E176" s="14">
        <v>23986.423999999999</v>
      </c>
      <c r="F176" s="14">
        <v>0</v>
      </c>
      <c r="G176" s="14">
        <v>19463.78</v>
      </c>
      <c r="H176" s="14">
        <v>0</v>
      </c>
      <c r="I176" s="14"/>
      <c r="J176" s="14"/>
    </row>
    <row r="177" spans="1:10" x14ac:dyDescent="0.25">
      <c r="A177" s="7">
        <v>43640</v>
      </c>
      <c r="B177" s="8" t="str">
        <f>HYPERLINK("Y:\Brents\Brent Charlie\Brent Charlie Oil Export\6. General Information\Oil Export Totaliser Error\MR 2019\24.06.2019.xlsx","24.06.2019.xlsx")</f>
        <v>24.06.2019.xlsx</v>
      </c>
      <c r="C177" s="14">
        <v>24523.653999999999</v>
      </c>
      <c r="D177" s="14">
        <v>0</v>
      </c>
      <c r="E177" s="14">
        <v>23986.423999999999</v>
      </c>
      <c r="F177" s="14">
        <v>0</v>
      </c>
      <c r="G177" s="14">
        <v>19463.78</v>
      </c>
      <c r="H177" s="14">
        <v>0</v>
      </c>
      <c r="I177" s="14"/>
      <c r="J177" s="14"/>
    </row>
    <row r="178" spans="1:10" x14ac:dyDescent="0.25">
      <c r="A178" s="7">
        <v>43641</v>
      </c>
      <c r="B178" s="8" t="str">
        <f>HYPERLINK("Y:\Brents\Brent Charlie\Brent Charlie Oil Export\6. General Information\Oil Export Totaliser Error\MR 2019\25.06.2019.xlsx","25.06.2019.xlsx")</f>
        <v>25.06.2019.xlsx</v>
      </c>
      <c r="C178" s="14">
        <v>24523.653999999999</v>
      </c>
      <c r="D178" s="14">
        <v>0</v>
      </c>
      <c r="E178" s="14">
        <v>23986.423999999999</v>
      </c>
      <c r="F178" s="14">
        <v>0</v>
      </c>
      <c r="G178" s="14">
        <v>19463.78</v>
      </c>
      <c r="H178" s="14">
        <v>0</v>
      </c>
      <c r="I178" s="14"/>
      <c r="J178" s="14"/>
    </row>
    <row r="179" spans="1:10" x14ac:dyDescent="0.25">
      <c r="A179" s="7">
        <v>43642</v>
      </c>
      <c r="B179" s="8" t="str">
        <f>HYPERLINK("Y:\Brents\Brent Charlie\Brent Charlie Oil Export\6. General Information\Oil Export Totaliser Error\MR 2019\26.06.2019.xlsx","26.06.2019.xlsx")</f>
        <v>26.06.2019.xlsx</v>
      </c>
      <c r="C179" s="14">
        <v>24523.653999999999</v>
      </c>
      <c r="D179" s="14">
        <v>0</v>
      </c>
      <c r="E179" s="14">
        <v>23986.04</v>
      </c>
      <c r="F179" s="14">
        <v>0</v>
      </c>
      <c r="G179" s="14">
        <v>19463.78</v>
      </c>
      <c r="H179" s="14">
        <v>0</v>
      </c>
      <c r="I179" s="14"/>
      <c r="J179" s="14"/>
    </row>
    <row r="180" spans="1:10" x14ac:dyDescent="0.25">
      <c r="A180" s="7">
        <v>43643</v>
      </c>
      <c r="B180" s="8" t="str">
        <f>HYPERLINK("Y:\Brents\Brent Charlie\Brent Charlie Oil Export\6. General Information\Oil Export Totaliser Error\MR 2019\27.06.2019.xlsx","27.06.2019.xlsx")</f>
        <v>27.06.2019.xlsx</v>
      </c>
      <c r="C180" s="14">
        <v>24523.653999999999</v>
      </c>
      <c r="D180" s="14">
        <v>0</v>
      </c>
      <c r="E180" s="14">
        <v>23986.04</v>
      </c>
      <c r="F180" s="14">
        <v>0</v>
      </c>
      <c r="G180" s="14">
        <v>19463.778053000002</v>
      </c>
      <c r="H180" s="14">
        <v>0</v>
      </c>
      <c r="I180" s="14"/>
      <c r="J180" s="14"/>
    </row>
    <row r="181" spans="1:10" x14ac:dyDescent="0.25">
      <c r="A181" s="7">
        <v>43644</v>
      </c>
      <c r="B181" s="8" t="str">
        <f>HYPERLINK("Y:\Brents\Brent Charlie\Brent Charlie Oil Export\6. General Information\Oil Export Totaliser Error\MR 2019\28.06.2019.xlsx","28.06.2019.xlsx")</f>
        <v>28.06.2019.xlsx</v>
      </c>
      <c r="C181" s="14">
        <v>24523.653999999999</v>
      </c>
      <c r="D181" s="14">
        <v>0</v>
      </c>
      <c r="E181" s="14">
        <v>23986.04</v>
      </c>
      <c r="F181" s="14">
        <v>0</v>
      </c>
      <c r="G181" s="14">
        <v>19463.778053000002</v>
      </c>
      <c r="H181" s="14">
        <v>0</v>
      </c>
      <c r="I181" s="14"/>
      <c r="J181" s="14"/>
    </row>
    <row r="182" spans="1:10" x14ac:dyDescent="0.25">
      <c r="A182" s="7">
        <v>43645</v>
      </c>
      <c r="B182" s="8" t="str">
        <f>HYPERLINK("Y:\Brents\Brent Charlie\Brent Charlie Oil Export\6. General Information\Oil Export Totaliser Error\MR 2019\29.06.2019.xlsx","29.06.2019.xlsx")</f>
        <v>29.06.2019.xlsx</v>
      </c>
      <c r="C182" s="14">
        <v>24523.653999999999</v>
      </c>
      <c r="D182" s="14">
        <v>0</v>
      </c>
      <c r="E182" s="14">
        <v>23986.04</v>
      </c>
      <c r="F182" s="14">
        <v>0</v>
      </c>
      <c r="G182" s="14">
        <v>19463.778053000002</v>
      </c>
      <c r="H182" s="14">
        <v>0</v>
      </c>
      <c r="I182" s="14"/>
      <c r="J182" s="14"/>
    </row>
    <row r="183" spans="1:10" x14ac:dyDescent="0.25">
      <c r="A183" s="7">
        <v>43646</v>
      </c>
      <c r="B183" s="8" t="str">
        <f>HYPERLINK("Y:\Brents\Brent Charlie\Brent Charlie Oil Export\6. General Information\Oil Export Totaliser Error\MR 2019\30.06.2019.xlsx","30.06.2019.xlsx")</f>
        <v>30.06.2019.xlsx</v>
      </c>
      <c r="C183" s="14">
        <v>24523.653999999999</v>
      </c>
      <c r="D183" s="14">
        <v>0</v>
      </c>
      <c r="E183" s="14">
        <v>23986.04</v>
      </c>
      <c r="F183" s="14">
        <v>0</v>
      </c>
      <c r="G183" s="14">
        <v>19463.778053000002</v>
      </c>
      <c r="H183" s="14">
        <v>0</v>
      </c>
      <c r="I183" s="14"/>
      <c r="J183" s="14"/>
    </row>
    <row r="184" spans="1:10" x14ac:dyDescent="0.25">
      <c r="A184" s="7">
        <v>43647</v>
      </c>
      <c r="B184" s="8" t="str">
        <f>HYPERLINK("Y:\Brents\Brent Charlie\Brent Charlie Oil Export\6. General Information\Oil Export Totaliser Error\MR 2019\01.07.2019.xlsx","01.07.2019.xlsx")</f>
        <v>01.07.2019.xlsx</v>
      </c>
      <c r="C184" s="14">
        <v>24523.653999999999</v>
      </c>
      <c r="D184" s="14">
        <v>0</v>
      </c>
      <c r="E184" s="14">
        <v>23986.04</v>
      </c>
      <c r="F184" s="14">
        <v>0</v>
      </c>
      <c r="G184" s="14">
        <v>19463.778053000002</v>
      </c>
      <c r="H184" s="14">
        <v>0</v>
      </c>
      <c r="I184" s="14"/>
      <c r="J184" s="14"/>
    </row>
    <row r="185" spans="1:10" x14ac:dyDescent="0.25">
      <c r="A185" s="7">
        <v>43648</v>
      </c>
      <c r="B185" s="8" t="str">
        <f>HYPERLINK("Y:\Brents\Brent Charlie\Brent Charlie Oil Export\6. General Information\Oil Export Totaliser Error\MR 2019\02.07.2019.xlsx","02.07.2019.xlsx")</f>
        <v>02.07.2019.xlsx</v>
      </c>
      <c r="C185" s="14">
        <v>24523.653999999999</v>
      </c>
      <c r="D185" s="14">
        <v>0</v>
      </c>
      <c r="E185" s="14">
        <v>23986.04</v>
      </c>
      <c r="F185" s="14">
        <v>0</v>
      </c>
      <c r="G185" s="14">
        <v>19463.778053000002</v>
      </c>
      <c r="H185" s="14">
        <v>0</v>
      </c>
      <c r="I185" s="14"/>
      <c r="J185" s="14"/>
    </row>
    <row r="186" spans="1:10" x14ac:dyDescent="0.25">
      <c r="A186" s="7">
        <v>43649</v>
      </c>
      <c r="B186" s="8" t="str">
        <f>HYPERLINK("Y:\Brents\Brent Charlie\Brent Charlie Oil Export\6. General Information\Oil Export Totaliser Error\MR 2019\03.07.2019.xlsx","03.07.2019.xlsx")</f>
        <v>03.07.2019.xlsx</v>
      </c>
      <c r="C186" s="14">
        <v>24523.653999999999</v>
      </c>
      <c r="D186" s="14">
        <v>0</v>
      </c>
      <c r="E186" s="14">
        <v>23986.04</v>
      </c>
      <c r="F186" s="14">
        <v>0</v>
      </c>
      <c r="G186" s="14">
        <v>19463.778053000002</v>
      </c>
      <c r="H186" s="14">
        <v>0</v>
      </c>
      <c r="I186" s="14"/>
      <c r="J186" s="14"/>
    </row>
    <row r="187" spans="1:10" x14ac:dyDescent="0.25">
      <c r="A187" s="7">
        <v>43650</v>
      </c>
      <c r="B187" s="8" t="str">
        <f>HYPERLINK("Y:\Brents\Brent Charlie\Brent Charlie Oil Export\6. General Information\Oil Export Totaliser Error\MR 2019\04.07.2019.xlsx","04.07.2019.xlsx")</f>
        <v>04.07.2019.xlsx</v>
      </c>
      <c r="C187" s="14">
        <v>24523.653999999999</v>
      </c>
      <c r="D187" s="14">
        <v>0</v>
      </c>
      <c r="E187" s="14">
        <v>23986.04</v>
      </c>
      <c r="F187" s="14">
        <v>0</v>
      </c>
      <c r="G187" s="14">
        <v>19463.778053000002</v>
      </c>
      <c r="H187" s="14">
        <v>0</v>
      </c>
      <c r="I187" s="14"/>
      <c r="J187" s="14"/>
    </row>
    <row r="188" spans="1:10" x14ac:dyDescent="0.25">
      <c r="A188" s="7">
        <v>43651</v>
      </c>
      <c r="B188" s="8" t="str">
        <f>HYPERLINK("Y:\Brents\Brent Charlie\Brent Charlie Oil Export\6. General Information\Oil Export Totaliser Error\MR 2019\05.07.2019.xlsx","05.07.2019.xlsx")</f>
        <v>05.07.2019.xlsx</v>
      </c>
      <c r="C188" s="14">
        <v>24523.653999999999</v>
      </c>
      <c r="D188" s="14">
        <v>0</v>
      </c>
      <c r="E188" s="14">
        <v>23986.04</v>
      </c>
      <c r="F188" s="14">
        <v>0</v>
      </c>
      <c r="G188" s="14">
        <v>19463.778053000002</v>
      </c>
      <c r="H188" s="14">
        <v>0</v>
      </c>
      <c r="I188" s="14"/>
      <c r="J188" s="14"/>
    </row>
    <row r="189" spans="1:10" x14ac:dyDescent="0.25">
      <c r="A189" s="7">
        <v>43652</v>
      </c>
      <c r="B189" s="8" t="str">
        <f>HYPERLINK("Y:\Brents\Brent Charlie\Brent Charlie Oil Export\6. General Information\Oil Export Totaliser Error\MR 2019\06.07.2019.xlsx","06.07.2019.xlsx")</f>
        <v>06.07.2019.xlsx</v>
      </c>
      <c r="C189" s="14">
        <v>24523.653999999999</v>
      </c>
      <c r="D189" s="14">
        <v>0</v>
      </c>
      <c r="E189" s="14">
        <v>23986.04</v>
      </c>
      <c r="F189" s="14">
        <v>0</v>
      </c>
      <c r="G189" s="14">
        <v>19463.778053000002</v>
      </c>
      <c r="H189" s="14">
        <v>0</v>
      </c>
      <c r="I189" s="14"/>
      <c r="J189" s="14"/>
    </row>
    <row r="190" spans="1:10" x14ac:dyDescent="0.25">
      <c r="A190" s="7">
        <v>43653</v>
      </c>
      <c r="B190" s="8" t="str">
        <f>HYPERLINK("Y:\Brents\Brent Charlie\Brent Charlie Oil Export\6. General Information\Oil Export Totaliser Error\MR 2019\07.07.2019.xlsx","07.07.2019.xlsx")</f>
        <v>07.07.2019.xlsx</v>
      </c>
      <c r="C190" s="14">
        <v>24523.653999999999</v>
      </c>
      <c r="D190" s="14">
        <v>0</v>
      </c>
      <c r="E190" s="14">
        <v>23986.04</v>
      </c>
      <c r="F190" s="14">
        <v>0</v>
      </c>
      <c r="G190" s="14">
        <v>19463.778053000002</v>
      </c>
      <c r="H190" s="14">
        <v>0</v>
      </c>
      <c r="I190" s="14"/>
      <c r="J190" s="14"/>
    </row>
    <row r="191" spans="1:10" x14ac:dyDescent="0.25">
      <c r="A191" s="7">
        <v>43654</v>
      </c>
      <c r="B191" s="8" t="str">
        <f>HYPERLINK("Y:\Brents\Brent Charlie\Brent Charlie Oil Export\6. General Information\Oil Export Totaliser Error\MR 2019\08.07.2019.xlsx","08.07.2019.xlsx")</f>
        <v>08.07.2019.xlsx</v>
      </c>
      <c r="C191" s="14">
        <v>24523.653999999999</v>
      </c>
      <c r="D191" s="14">
        <v>0</v>
      </c>
      <c r="E191" s="14">
        <v>23986.04</v>
      </c>
      <c r="F191" s="14">
        <v>0</v>
      </c>
      <c r="G191" s="14">
        <v>19463.778053000002</v>
      </c>
      <c r="H191" s="14">
        <v>0</v>
      </c>
      <c r="I191" s="14"/>
      <c r="J191" s="14"/>
    </row>
    <row r="192" spans="1:10" x14ac:dyDescent="0.25">
      <c r="A192" s="7">
        <v>43655</v>
      </c>
      <c r="B192" s="8" t="str">
        <f>HYPERLINK("Y:\Brents\Brent Charlie\Brent Charlie Oil Export\6. General Information\Oil Export Totaliser Error\MR 2019\09.07.2019.xlsx","09.07.2019.xlsx")</f>
        <v>09.07.2019.xlsx</v>
      </c>
      <c r="C192" s="14">
        <v>24523.653999999999</v>
      </c>
      <c r="D192" s="14">
        <v>0</v>
      </c>
      <c r="E192" s="14">
        <v>23986.04</v>
      </c>
      <c r="F192" s="14">
        <v>0</v>
      </c>
      <c r="G192" s="14">
        <v>19463.778053000002</v>
      </c>
      <c r="H192" s="14">
        <v>0</v>
      </c>
      <c r="I192" s="14"/>
      <c r="J192" s="14"/>
    </row>
    <row r="193" spans="1:10" x14ac:dyDescent="0.25">
      <c r="A193" s="7">
        <v>43656</v>
      </c>
      <c r="B193" s="8" t="str">
        <f>HYPERLINK("Y:\Brents\Brent Charlie\Brent Charlie Oil Export\6. General Information\Oil Export Totaliser Error\MR 2019\10.07.2019.xlsx","10.07.2019.xlsx")</f>
        <v>10.07.2019.xlsx</v>
      </c>
      <c r="C193" s="14">
        <v>33445.941400000003</v>
      </c>
      <c r="D193" s="14">
        <v>8922.2870000000003</v>
      </c>
      <c r="E193" s="14">
        <v>32710.7821</v>
      </c>
      <c r="F193" s="14">
        <v>8724.7389999999996</v>
      </c>
      <c r="G193" s="14">
        <v>26549.928800000002</v>
      </c>
      <c r="H193" s="14">
        <v>7086.1509999999998</v>
      </c>
      <c r="I193" s="14"/>
      <c r="J193" s="14"/>
    </row>
    <row r="194" spans="1:10" x14ac:dyDescent="0.25">
      <c r="A194" s="7">
        <v>43657</v>
      </c>
      <c r="B194" s="8" t="str">
        <f>HYPERLINK("Y:\Brents\Brent Charlie\Brent Charlie Oil Export\6. General Information\Oil Export Totaliser Error\MR 2019\11.07.2019.xlsx","11.07.2019.xlsx")</f>
        <v>11.07.2019.xlsx</v>
      </c>
      <c r="C194" s="14">
        <v>43392.589800000002</v>
      </c>
      <c r="D194" s="14">
        <v>9946.6479999999992</v>
      </c>
      <c r="E194" s="14">
        <v>42436.346039999997</v>
      </c>
      <c r="F194" s="14">
        <v>9725.5630000000001</v>
      </c>
      <c r="G194" s="14">
        <v>34453.733884000001</v>
      </c>
      <c r="H194" s="14">
        <v>7903.8050000000003</v>
      </c>
      <c r="I194" s="14"/>
      <c r="J194" s="14"/>
    </row>
    <row r="195" spans="1:10" x14ac:dyDescent="0.25">
      <c r="A195" s="7">
        <v>43658</v>
      </c>
      <c r="B195" s="8" t="str">
        <f>HYPERLINK("Y:\Brents\Brent Charlie\Brent Charlie Oil Export\6. General Information\Oil Export Totaliser Error\MR 2019\12.07.2019.xlsx","12.07.2019.xlsx")</f>
        <v>12.07.2019.xlsx</v>
      </c>
      <c r="C195" s="14">
        <v>43392.589800000002</v>
      </c>
      <c r="D195" s="14">
        <v>0</v>
      </c>
      <c r="E195" s="14">
        <v>42436.346039999997</v>
      </c>
      <c r="F195" s="14">
        <v>0</v>
      </c>
      <c r="G195" s="14">
        <v>34453.733884000001</v>
      </c>
      <c r="H195" s="14">
        <v>0</v>
      </c>
      <c r="I195" s="14"/>
      <c r="J195" s="14"/>
    </row>
    <row r="196" spans="1:10" x14ac:dyDescent="0.25">
      <c r="A196" s="7">
        <v>43659</v>
      </c>
      <c r="B196" s="8" t="str">
        <f>HYPERLINK("Y:\Brents\Brent Charlie\Brent Charlie Oil Export\6. General Information\Oil Export Totaliser Error\MR 2019\13.07.2019.xlsx","13.07.2019.xlsx")</f>
        <v>13.07.2019.xlsx</v>
      </c>
      <c r="C196" s="14">
        <v>43392.589800000002</v>
      </c>
      <c r="D196" s="14">
        <v>0</v>
      </c>
      <c r="E196" s="14">
        <v>42436.346039999997</v>
      </c>
      <c r="F196" s="14">
        <v>0</v>
      </c>
      <c r="G196" s="14">
        <v>34453.733884000001</v>
      </c>
      <c r="H196" s="14">
        <v>0</v>
      </c>
      <c r="I196" s="14"/>
      <c r="J196" s="14"/>
    </row>
    <row r="197" spans="1:10" x14ac:dyDescent="0.25">
      <c r="A197" s="7">
        <v>43660</v>
      </c>
      <c r="B197" s="8" t="str">
        <f>HYPERLINK("Y:\Brents\Brent Charlie\Brent Charlie Oil Export\6. General Information\Oil Export Totaliser Error\MR 2019\14.07.2019.xlsx","14.07.2019.xlsx")</f>
        <v>14.07.2019.xlsx</v>
      </c>
      <c r="C197" s="14">
        <v>43392.589800000002</v>
      </c>
      <c r="D197" s="14">
        <v>0</v>
      </c>
      <c r="E197" s="14">
        <v>42436.346039999997</v>
      </c>
      <c r="F197" s="14">
        <v>0</v>
      </c>
      <c r="G197" s="14">
        <v>34453.733884000001</v>
      </c>
      <c r="H197" s="14">
        <v>0</v>
      </c>
      <c r="I197" s="14"/>
      <c r="J197" s="14"/>
    </row>
    <row r="198" spans="1:10" x14ac:dyDescent="0.25">
      <c r="A198" s="7">
        <v>43661</v>
      </c>
      <c r="B198" s="8" t="str">
        <f>HYPERLINK("Y:\Brents\Brent Charlie\Brent Charlie Oil Export\6. General Information\Oil Export Totaliser Error\MR 2019\15.07.2019.xlsx","15.07.2019.xlsx")</f>
        <v>15.07.2019.xlsx</v>
      </c>
      <c r="C198" s="14">
        <v>43392.589800000002</v>
      </c>
      <c r="D198" s="14">
        <v>0</v>
      </c>
      <c r="E198" s="14">
        <v>42436.346039999997</v>
      </c>
      <c r="F198" s="14">
        <v>0</v>
      </c>
      <c r="G198" s="14">
        <v>34453.733884000001</v>
      </c>
      <c r="H198" s="14">
        <v>0</v>
      </c>
      <c r="I198" s="14"/>
      <c r="J198" s="14"/>
    </row>
    <row r="199" spans="1:10" x14ac:dyDescent="0.25">
      <c r="A199" s="7">
        <v>43662</v>
      </c>
      <c r="B199" s="8" t="str">
        <f>HYPERLINK("Y:\Brents\Brent Charlie\Brent Charlie Oil Export\6. General Information\Oil Export Totaliser Error\MR 2019\16.07.2019.xlsx","16.07.2019.xlsx")</f>
        <v>16.07.2019.xlsx</v>
      </c>
      <c r="C199" s="14">
        <v>43392.589800000002</v>
      </c>
      <c r="D199" s="14">
        <v>0</v>
      </c>
      <c r="E199" s="14">
        <v>42436.346039999997</v>
      </c>
      <c r="F199" s="14">
        <v>0</v>
      </c>
      <c r="G199" s="14">
        <v>34453.733884000001</v>
      </c>
      <c r="H199" s="14">
        <v>0</v>
      </c>
      <c r="I199" s="14"/>
      <c r="J199" s="14"/>
    </row>
    <row r="200" spans="1:10" x14ac:dyDescent="0.25">
      <c r="A200" s="7">
        <v>43663</v>
      </c>
      <c r="B200" s="8" t="str">
        <f>HYPERLINK("Y:\Brents\Brent Charlie\Brent Charlie Oil Export\6. General Information\Oil Export Totaliser Error\MR 2019\17.07.2019.xlsx","17.07.2019.xlsx")</f>
        <v>17.07.2019.xlsx</v>
      </c>
      <c r="C200" s="14">
        <v>43392.589800000002</v>
      </c>
      <c r="D200" s="14">
        <v>0</v>
      </c>
      <c r="E200" s="14">
        <v>42436.346039999997</v>
      </c>
      <c r="F200" s="14">
        <v>0</v>
      </c>
      <c r="G200" s="14">
        <v>34453.733884000001</v>
      </c>
      <c r="H200" s="14">
        <v>0</v>
      </c>
      <c r="I200" s="14"/>
      <c r="J200" s="14"/>
    </row>
    <row r="201" spans="1:10" x14ac:dyDescent="0.25">
      <c r="A201" s="7">
        <v>43664</v>
      </c>
      <c r="B201" s="8" t="str">
        <f>HYPERLINK("Y:\Brents\Brent Charlie\Brent Charlie Oil Export\6. General Information\Oil Export Totaliser Error\MR 2019\18.07.2019.xlsx","18.07.2019.xlsx")</f>
        <v>18.07.2019.xlsx</v>
      </c>
      <c r="C201" s="14">
        <v>43392.589800000002</v>
      </c>
      <c r="D201" s="14">
        <v>0</v>
      </c>
      <c r="E201" s="14">
        <v>42436.346039999997</v>
      </c>
      <c r="F201" s="14">
        <v>0</v>
      </c>
      <c r="G201" s="14">
        <v>34453.733884000001</v>
      </c>
      <c r="H201" s="14">
        <v>0</v>
      </c>
      <c r="I201" s="14"/>
      <c r="J201" s="14"/>
    </row>
    <row r="202" spans="1:10" x14ac:dyDescent="0.25">
      <c r="A202" s="7">
        <v>43665</v>
      </c>
      <c r="B202" s="8" t="str">
        <f>HYPERLINK("Y:\Brents\Brent Charlie\Brent Charlie Oil Export\6. General Information\Oil Export Totaliser Error\MR 2019\19.07.2019.xlsx","19.07.2019.xlsx")</f>
        <v>19.07.2019.xlsx</v>
      </c>
      <c r="C202" s="14">
        <v>43392.589800000002</v>
      </c>
      <c r="D202" s="14">
        <v>0</v>
      </c>
      <c r="E202" s="14">
        <v>42436.346039999997</v>
      </c>
      <c r="F202" s="14">
        <v>0</v>
      </c>
      <c r="G202" s="14">
        <v>34453.733884000001</v>
      </c>
      <c r="H202" s="14">
        <v>0</v>
      </c>
      <c r="I202" s="14"/>
      <c r="J202" s="14"/>
    </row>
    <row r="203" spans="1:10" x14ac:dyDescent="0.25">
      <c r="A203" s="7">
        <v>43666</v>
      </c>
      <c r="B203" s="8" t="str">
        <f>HYPERLINK("Y:\Brents\Brent Charlie\Brent Charlie Oil Export\6. General Information\Oil Export Totaliser Error\MR 2019\20.07.2019.xlsx","20.07.2019.xlsx")</f>
        <v>20.07.2019.xlsx</v>
      </c>
      <c r="C203" s="14">
        <v>43392.589800000002</v>
      </c>
      <c r="D203" s="14">
        <v>0</v>
      </c>
      <c r="E203" s="14">
        <v>42436.346039999997</v>
      </c>
      <c r="F203" s="14">
        <v>0</v>
      </c>
      <c r="G203" s="14">
        <v>34453.733884000001</v>
      </c>
      <c r="H203" s="14">
        <v>0</v>
      </c>
      <c r="I203" s="14"/>
      <c r="J203" s="14"/>
    </row>
    <row r="204" spans="1:10" x14ac:dyDescent="0.25">
      <c r="A204" s="7">
        <v>43667</v>
      </c>
      <c r="B204" s="8" t="str">
        <f>HYPERLINK("Y:\Brents\Brent Charlie\Brent Charlie Oil Export\6. General Information\Oil Export Totaliser Error\MR 2019\21.07.2019.xlsx","21.07.2019.xlsx")</f>
        <v>21.07.2019.xlsx</v>
      </c>
      <c r="C204" s="14">
        <v>43392.589800000002</v>
      </c>
      <c r="D204" s="14">
        <v>0</v>
      </c>
      <c r="E204" s="14">
        <v>42436.346039999997</v>
      </c>
      <c r="F204" s="14">
        <v>0</v>
      </c>
      <c r="G204" s="14">
        <v>34453.733884000001</v>
      </c>
      <c r="H204" s="14">
        <v>0</v>
      </c>
      <c r="I204" s="14"/>
      <c r="J204" s="14"/>
    </row>
    <row r="205" spans="1:10" x14ac:dyDescent="0.25">
      <c r="A205" s="7">
        <v>43668</v>
      </c>
      <c r="B205" s="8" t="str">
        <f>HYPERLINK("Y:\Brents\Brent Charlie\Brent Charlie Oil Export\6. General Information\Oil Export Totaliser Error\MR 2019\22.07.2019.xlsx","22.07.2019.xlsx")</f>
        <v>22.07.2019.xlsx</v>
      </c>
      <c r="C205" s="14">
        <v>43392.589800000002</v>
      </c>
      <c r="D205" s="14">
        <v>0</v>
      </c>
      <c r="E205" s="14">
        <v>42436.346039999997</v>
      </c>
      <c r="F205" s="14">
        <v>0</v>
      </c>
      <c r="G205" s="14">
        <v>34453.733884000001</v>
      </c>
      <c r="H205" s="14">
        <v>0</v>
      </c>
      <c r="I205" s="14"/>
      <c r="J205" s="14"/>
    </row>
    <row r="206" spans="1:10" x14ac:dyDescent="0.25">
      <c r="A206" s="7">
        <v>43669</v>
      </c>
      <c r="B206" s="8" t="str">
        <f>HYPERLINK("Y:\Brents\Brent Charlie\Brent Charlie Oil Export\6. General Information\Oil Export Totaliser Error\MR 2019\23.07.2019.xlsx","23.07.2019.xlsx")</f>
        <v>23.07.2019.xlsx</v>
      </c>
      <c r="C206" s="14">
        <v>43392.589800000002</v>
      </c>
      <c r="D206" s="14">
        <v>0</v>
      </c>
      <c r="E206" s="14">
        <v>42436.346039999997</v>
      </c>
      <c r="F206" s="14">
        <v>0</v>
      </c>
      <c r="G206" s="14">
        <v>34453.733884000001</v>
      </c>
      <c r="H206" s="14">
        <v>0</v>
      </c>
      <c r="I206" s="14"/>
      <c r="J206" s="14"/>
    </row>
    <row r="207" spans="1:10" x14ac:dyDescent="0.25">
      <c r="A207" s="7">
        <v>43670</v>
      </c>
      <c r="B207" s="8" t="str">
        <f>HYPERLINK("Y:\Brents\Brent Charlie\Brent Charlie Oil Export\6. General Information\Oil Export Totaliser Error\MR 2019\24.07.2019.xlsx","24.07.2019.xlsx")</f>
        <v>24.07.2019.xlsx</v>
      </c>
      <c r="C207" s="14">
        <v>43392.589800000002</v>
      </c>
      <c r="D207" s="14">
        <v>0</v>
      </c>
      <c r="E207" s="14">
        <v>42436.346039999997</v>
      </c>
      <c r="F207" s="14">
        <v>0</v>
      </c>
      <c r="G207" s="14">
        <v>34453.733884000001</v>
      </c>
      <c r="H207" s="14">
        <v>0</v>
      </c>
      <c r="I207" s="14"/>
      <c r="J207" s="14"/>
    </row>
    <row r="208" spans="1:10" x14ac:dyDescent="0.25">
      <c r="A208" s="7">
        <v>43671</v>
      </c>
      <c r="B208" s="8" t="str">
        <f>HYPERLINK("Y:\Brents\Brent Charlie\Brent Charlie Oil Export\6. General Information\Oil Export Totaliser Error\MR 2019\25.07.2019.xlsx","25.07.2019.xlsx")</f>
        <v>25.07.2019.xlsx</v>
      </c>
      <c r="C208" s="14">
        <v>43392.589800000002</v>
      </c>
      <c r="D208" s="14">
        <v>0</v>
      </c>
      <c r="E208" s="14">
        <v>42436.346039999997</v>
      </c>
      <c r="F208" s="14">
        <v>0</v>
      </c>
      <c r="G208" s="14">
        <v>34453.733884000001</v>
      </c>
      <c r="H208" s="14">
        <v>0</v>
      </c>
      <c r="I208" s="14"/>
      <c r="J208" s="14"/>
    </row>
    <row r="209" spans="1:10" x14ac:dyDescent="0.25">
      <c r="A209" s="7">
        <v>43672</v>
      </c>
      <c r="B209" s="8" t="str">
        <f>HYPERLINK("Y:\Brents\Brent Charlie\Brent Charlie Oil Export\6. General Information\Oil Export Totaliser Error\MR 2019\26.07.2019.xlsx","26.07.2019.xlsx")</f>
        <v>26.07.2019.xlsx</v>
      </c>
      <c r="C209" s="14">
        <v>43392.589800000002</v>
      </c>
      <c r="D209" s="14">
        <v>0</v>
      </c>
      <c r="E209" s="14">
        <v>42436.346039999997</v>
      </c>
      <c r="F209" s="14">
        <v>0</v>
      </c>
      <c r="G209" s="14">
        <v>34453.733884000001</v>
      </c>
      <c r="H209" s="14">
        <v>0</v>
      </c>
      <c r="I209" s="14"/>
      <c r="J209" s="14"/>
    </row>
    <row r="210" spans="1:10" x14ac:dyDescent="0.25">
      <c r="A210" s="7">
        <v>43673</v>
      </c>
      <c r="B210" s="8" t="str">
        <f>HYPERLINK("Y:\Brents\Brent Charlie\Brent Charlie Oil Export\6. General Information\Oil Export Totaliser Error\MR 2019\27.07.2019.xlsx","27.07.2019.xlsx")</f>
        <v>27.07.2019.xlsx</v>
      </c>
      <c r="C210" s="14">
        <v>43392.589800000002</v>
      </c>
      <c r="D210" s="14">
        <v>0</v>
      </c>
      <c r="E210" s="14">
        <v>42436.346039999997</v>
      </c>
      <c r="F210" s="14">
        <v>0</v>
      </c>
      <c r="G210" s="14">
        <v>34453.733884000001</v>
      </c>
      <c r="H210" s="14">
        <v>0</v>
      </c>
      <c r="I210" s="14"/>
      <c r="J210" s="14"/>
    </row>
    <row r="211" spans="1:10" x14ac:dyDescent="0.25">
      <c r="A211" s="7">
        <v>43674</v>
      </c>
      <c r="B211" s="8" t="str">
        <f>HYPERLINK("Y:\Brents\Brent Charlie\Brent Charlie Oil Export\6. General Information\Oil Export Totaliser Error\MR 2019\28.07.2019.xlsx","28.07.2019.xlsx")</f>
        <v>28.07.2019.xlsx</v>
      </c>
      <c r="C211" s="14">
        <v>43392.589800000002</v>
      </c>
      <c r="D211" s="14">
        <v>0</v>
      </c>
      <c r="E211" s="14">
        <v>42436.346039999997</v>
      </c>
      <c r="F211" s="14">
        <v>0</v>
      </c>
      <c r="G211" s="14">
        <v>34453.733884000001</v>
      </c>
      <c r="H211" s="14">
        <v>0</v>
      </c>
      <c r="I211" s="14"/>
      <c r="J211" s="14"/>
    </row>
    <row r="212" spans="1:10" x14ac:dyDescent="0.25">
      <c r="A212" s="7">
        <v>43675</v>
      </c>
      <c r="B212" s="8" t="str">
        <f>HYPERLINK("Y:\Brents\Brent Charlie\Brent Charlie Oil Export\6. General Information\Oil Export Totaliser Error\MR 2019\29.07.2019.xlsx","29.07.2019.xlsx")</f>
        <v>29.07.2019.xlsx</v>
      </c>
      <c r="C212" s="14">
        <v>43392.589800000002</v>
      </c>
      <c r="D212" s="14">
        <v>0</v>
      </c>
      <c r="E212" s="14">
        <v>42436.346039999997</v>
      </c>
      <c r="F212" s="14">
        <v>0</v>
      </c>
      <c r="G212" s="14">
        <v>34453.733884000001</v>
      </c>
      <c r="H212" s="14">
        <v>0</v>
      </c>
      <c r="I212" s="14"/>
      <c r="J212" s="14"/>
    </row>
    <row r="213" spans="1:10" x14ac:dyDescent="0.25">
      <c r="A213" s="7">
        <v>43676</v>
      </c>
      <c r="B213" s="8" t="str">
        <f>HYPERLINK("Y:\Brents\Brent Charlie\Brent Charlie Oil Export\6. General Information\Oil Export Totaliser Error\MR 2019\30.07.2019.xlsx","30.07.2019.xlsx")</f>
        <v>30.07.2019.xlsx</v>
      </c>
      <c r="C213" s="14">
        <v>43392.589800000002</v>
      </c>
      <c r="D213" s="14">
        <v>0</v>
      </c>
      <c r="E213" s="14">
        <v>42436.346039999997</v>
      </c>
      <c r="F213" s="14">
        <v>0</v>
      </c>
      <c r="G213" s="14">
        <v>34453.733884000001</v>
      </c>
      <c r="H213" s="14">
        <v>0</v>
      </c>
      <c r="I213" s="14"/>
      <c r="J213" s="14"/>
    </row>
    <row r="214" spans="1:10" x14ac:dyDescent="0.25">
      <c r="A214" s="7">
        <v>43677</v>
      </c>
      <c r="B214" s="8" t="str">
        <f>HYPERLINK("Y:\Brents\Brent Charlie\Brent Charlie Oil Export\6. General Information\Oil Export Totaliser Error\MR 2019\31.07.2019.xlsx","31.07.2019.xlsx")</f>
        <v>31.07.2019.xlsx</v>
      </c>
      <c r="C214" s="14">
        <v>43392.589800000002</v>
      </c>
      <c r="D214" s="14">
        <v>0</v>
      </c>
      <c r="E214" s="14">
        <v>42436.346039999997</v>
      </c>
      <c r="F214" s="14">
        <v>0</v>
      </c>
      <c r="G214" s="14">
        <v>34453.733884000001</v>
      </c>
      <c r="H214" s="14">
        <v>0</v>
      </c>
      <c r="I214" s="14"/>
      <c r="J214" s="14"/>
    </row>
    <row r="215" spans="1:10" x14ac:dyDescent="0.25">
      <c r="A215" s="7">
        <v>43678</v>
      </c>
      <c r="B215" s="8" t="str">
        <f>HYPERLINK("Y:\Brents\Brent Charlie\Brent Charlie Oil Export\6. General Information\Oil Export Totaliser Error\MR 2019\01.08.2019.xlsx","01.08.2019.xlsx")</f>
        <v>01.08.2019.xlsx</v>
      </c>
      <c r="C215" s="14">
        <v>43392.589800000002</v>
      </c>
      <c r="D215" s="14">
        <v>0</v>
      </c>
      <c r="E215" s="14">
        <v>42436.346039999997</v>
      </c>
      <c r="F215" s="14">
        <v>0</v>
      </c>
      <c r="G215" s="14">
        <v>34453.733884000001</v>
      </c>
      <c r="H215" s="14">
        <v>0</v>
      </c>
      <c r="I215" s="14"/>
      <c r="J215" s="14"/>
    </row>
    <row r="216" spans="1:10" x14ac:dyDescent="0.25">
      <c r="A216" s="7">
        <v>43679</v>
      </c>
      <c r="B216" s="8" t="str">
        <f>HYPERLINK("Y:\Brents\Brent Charlie\Brent Charlie Oil Export\6. General Information\Oil Export Totaliser Error\MR 2019\02.08.2019.xlsx","02.08.2019.xlsx")</f>
        <v>02.08.2019.xlsx</v>
      </c>
      <c r="C216" s="14">
        <v>43392.589800000002</v>
      </c>
      <c r="D216" s="14">
        <v>0</v>
      </c>
      <c r="E216" s="14">
        <v>42436.346039999997</v>
      </c>
      <c r="F216" s="14">
        <v>0</v>
      </c>
      <c r="G216" s="14">
        <v>34453.733884000001</v>
      </c>
      <c r="H216" s="14">
        <v>0</v>
      </c>
      <c r="I216" s="14"/>
      <c r="J216" s="14"/>
    </row>
    <row r="217" spans="1:10" x14ac:dyDescent="0.25">
      <c r="A217" s="7">
        <v>43680</v>
      </c>
      <c r="B217" s="8" t="str">
        <f>HYPERLINK("Y:\Brents\Brent Charlie\Brent Charlie Oil Export\6. General Information\Oil Export Totaliser Error\MR 2019\03.08.2019.xlsx","03.08.2019.xlsx")</f>
        <v>03.08.2019.xlsx</v>
      </c>
      <c r="C217" s="14">
        <v>43392.589800000002</v>
      </c>
      <c r="D217" s="14">
        <v>0</v>
      </c>
      <c r="E217" s="14">
        <v>42436.346039999997</v>
      </c>
      <c r="F217" s="14">
        <v>0</v>
      </c>
      <c r="G217" s="14">
        <v>34453.733884000001</v>
      </c>
      <c r="H217" s="14">
        <v>0</v>
      </c>
      <c r="I217" s="14"/>
      <c r="J217" s="14"/>
    </row>
    <row r="218" spans="1:10" x14ac:dyDescent="0.25">
      <c r="A218" s="7">
        <v>43681</v>
      </c>
      <c r="B218" s="8" t="str">
        <f>HYPERLINK("Y:\Brents\Brent Charlie\Brent Charlie Oil Export\6. General Information\Oil Export Totaliser Error\MR 2019\04.08.2019.xlsx","04.08.2019.xlsx")</f>
        <v>04.08.2019.xlsx</v>
      </c>
      <c r="C218" s="14">
        <v>43392.589800000002</v>
      </c>
      <c r="D218" s="14">
        <v>0</v>
      </c>
      <c r="E218" s="14">
        <v>42436.346039999997</v>
      </c>
      <c r="F218" s="14">
        <v>0</v>
      </c>
      <c r="G218" s="14">
        <v>34453.733884000001</v>
      </c>
      <c r="H218" s="14">
        <v>0</v>
      </c>
      <c r="I218" s="14"/>
      <c r="J218" s="14"/>
    </row>
    <row r="219" spans="1:10" x14ac:dyDescent="0.25">
      <c r="A219" s="7">
        <v>43682</v>
      </c>
      <c r="B219" s="8" t="str">
        <f>HYPERLINK("Y:\Brents\Brent Charlie\Brent Charlie Oil Export\6. General Information\Oil Export Totaliser Error\MR 2019\05.08.2019.xlsx","05.08.2019.xlsx")</f>
        <v>05.08.2019.xlsx</v>
      </c>
      <c r="C219" s="14">
        <v>43392.589800000002</v>
      </c>
      <c r="D219" s="14">
        <v>0</v>
      </c>
      <c r="E219" s="14">
        <v>42436.346039999997</v>
      </c>
      <c r="F219" s="14">
        <v>0</v>
      </c>
      <c r="G219" s="14">
        <v>34453.733884000001</v>
      </c>
      <c r="H219" s="14">
        <v>0</v>
      </c>
      <c r="I219" s="14"/>
      <c r="J219" s="14"/>
    </row>
    <row r="220" spans="1:10" x14ac:dyDescent="0.25">
      <c r="A220" s="7">
        <v>43683</v>
      </c>
      <c r="B220" s="8" t="str">
        <f>HYPERLINK("Y:\Brents\Brent Charlie\Brent Charlie Oil Export\6. General Information\Oil Export Totaliser Error\MR 2019\06.08.2019.xlsx","06.08.2019.xlsx")</f>
        <v>06.08.2019.xlsx</v>
      </c>
      <c r="C220" s="14">
        <v>43392.589800000002</v>
      </c>
      <c r="D220" s="14">
        <v>0</v>
      </c>
      <c r="E220" s="14">
        <v>42436.346039999997</v>
      </c>
      <c r="F220" s="14">
        <v>0</v>
      </c>
      <c r="G220" s="14">
        <v>34453.733884000001</v>
      </c>
      <c r="H220" s="14">
        <v>0</v>
      </c>
      <c r="I220" s="14"/>
      <c r="J220" s="14"/>
    </row>
    <row r="221" spans="1:10" x14ac:dyDescent="0.25">
      <c r="A221" s="7">
        <v>43684</v>
      </c>
      <c r="B221" s="8" t="str">
        <f>HYPERLINK("Y:\Brents\Brent Charlie\Brent Charlie Oil Export\6. General Information\Oil Export Totaliser Error\MR 2019\07.08.2019.xlsx","07.08.2019.xlsx")</f>
        <v>07.08.2019.xlsx</v>
      </c>
      <c r="C221" s="14">
        <v>50558.786851999997</v>
      </c>
      <c r="D221" s="14">
        <v>7166.1970000000001</v>
      </c>
      <c r="E221" s="14">
        <v>49439</v>
      </c>
      <c r="F221" s="14">
        <v>7003.5159999999996</v>
      </c>
      <c r="G221" s="14">
        <v>40115.421130000002</v>
      </c>
      <c r="H221" s="14">
        <v>5658.0929999999998</v>
      </c>
      <c r="I221" s="14"/>
      <c r="J221" s="14"/>
    </row>
    <row r="222" spans="1:10" x14ac:dyDescent="0.25">
      <c r="A222" s="7">
        <v>43685</v>
      </c>
      <c r="B222" s="8" t="str">
        <f>HYPERLINK("Y:\Brents\Brent Charlie\Brent Charlie Oil Export\6. General Information\Oil Export Totaliser Error\MR 2019\08.08.2019.xlsx","08.08.2019.xlsx")</f>
        <v>08.08.2019.xlsx</v>
      </c>
      <c r="C222" s="14">
        <v>58662.486100000002</v>
      </c>
      <c r="D222" s="14">
        <v>8103.5349999999999</v>
      </c>
      <c r="E222" s="14">
        <v>573371.10365099995</v>
      </c>
      <c r="F222" s="14">
        <v>7931.2420000000002</v>
      </c>
      <c r="G222" s="14">
        <v>46451.930756000002</v>
      </c>
      <c r="H222" s="14">
        <v>6432.8410000000003</v>
      </c>
      <c r="I222" s="14"/>
      <c r="J222" s="14"/>
    </row>
    <row r="223" spans="1:10" x14ac:dyDescent="0.25">
      <c r="A223" s="7">
        <v>43686</v>
      </c>
      <c r="B223" s="8" t="str">
        <f>HYPERLINK("Y:\Brents\Brent Charlie\Brent Charlie Oil Export\6. General Information\Oil Export Totaliser Error\MR 2019\09.08.2019.xlsx","09.08.2019.xlsx")</f>
        <v>09.08.2019.xlsx</v>
      </c>
      <c r="C223" s="14">
        <v>66644.937118999995</v>
      </c>
      <c r="D223" s="14">
        <v>7982.4690000000001</v>
      </c>
      <c r="E223" s="14">
        <v>65172.326627000002</v>
      </c>
      <c r="F223" s="14">
        <v>7801.223</v>
      </c>
      <c r="G223" s="14">
        <v>52892.958659999997</v>
      </c>
      <c r="H223" s="14">
        <v>6323.1580000000004</v>
      </c>
      <c r="I223" s="14"/>
      <c r="J223" s="14"/>
    </row>
    <row r="224" spans="1:10" x14ac:dyDescent="0.25">
      <c r="A224" s="7">
        <v>43687</v>
      </c>
      <c r="B224" s="8" t="str">
        <f>HYPERLINK("Y:\Brents\Brent Charlie\Brent Charlie Oil Export\6. General Information\Oil Export Totaliser Error\MR 2019\10.08.2019.xlsx","10.08.2019.xlsx")</f>
        <v>10.08.2019.xlsx</v>
      </c>
      <c r="C224" s="14">
        <v>66644.937118999995</v>
      </c>
      <c r="D224" s="14">
        <v>0</v>
      </c>
      <c r="E224" s="14">
        <v>65172.326627000002</v>
      </c>
      <c r="F224" s="14">
        <v>0</v>
      </c>
      <c r="G224" s="14">
        <v>52892.958659999997</v>
      </c>
      <c r="H224" s="14">
        <v>0</v>
      </c>
      <c r="I224" s="14"/>
      <c r="J224" s="14"/>
    </row>
    <row r="225" spans="1:10" x14ac:dyDescent="0.25">
      <c r="A225" s="7">
        <v>43688</v>
      </c>
      <c r="B225" s="8" t="str">
        <f>HYPERLINK("Y:\Brents\Brent Charlie\Brent Charlie Oil Export\6. General Information\Oil Export Totaliser Error\MR 2019\11.08.2019.xlsx","11.08.2019.xlsx")</f>
        <v>11.08.2019.xlsx</v>
      </c>
      <c r="C225" s="14">
        <v>66644.937118999995</v>
      </c>
      <c r="D225" s="14">
        <v>0</v>
      </c>
      <c r="E225" s="14">
        <v>65172.326627000002</v>
      </c>
      <c r="F225" s="14">
        <v>0</v>
      </c>
      <c r="G225" s="14">
        <v>52892.958659999997</v>
      </c>
      <c r="H225" s="14">
        <v>0</v>
      </c>
      <c r="I225" s="14"/>
      <c r="J225" s="14"/>
    </row>
    <row r="226" spans="1:10" x14ac:dyDescent="0.25">
      <c r="A226" s="7">
        <v>43689</v>
      </c>
      <c r="B226" s="8" t="str">
        <f>HYPERLINK("Y:\Brents\Brent Charlie\Brent Charlie Oil Export\6. General Information\Oil Export Totaliser Error\MR 2019\12.08.2019.xlsx","12.08.2019.xlsx")</f>
        <v>12.08.2019.xlsx</v>
      </c>
      <c r="C226" s="14">
        <v>66644.937118999995</v>
      </c>
      <c r="D226" s="14">
        <v>0</v>
      </c>
      <c r="E226" s="14">
        <v>65172.326627000002</v>
      </c>
      <c r="F226" s="14">
        <v>0</v>
      </c>
      <c r="G226" s="14">
        <v>52892.958659999997</v>
      </c>
      <c r="H226" s="14">
        <v>0</v>
      </c>
      <c r="I226" s="14"/>
      <c r="J226" s="14"/>
    </row>
    <row r="227" spans="1:10" x14ac:dyDescent="0.25">
      <c r="A227" s="7">
        <v>43690</v>
      </c>
      <c r="B227" s="8" t="str">
        <f>HYPERLINK("Y:\Brents\Brent Charlie\Brent Charlie Oil Export\6. General Information\Oil Export Totaliser Error\MR 2019\13.08.2019.xlsx","13.08.2019.xlsx")</f>
        <v>13.08.2019.xlsx</v>
      </c>
      <c r="C227" s="14">
        <v>66644.937118999995</v>
      </c>
      <c r="D227" s="14">
        <v>0</v>
      </c>
      <c r="E227" s="14">
        <v>65172.326627000002</v>
      </c>
      <c r="F227" s="14">
        <v>0</v>
      </c>
      <c r="G227" s="14">
        <v>52892.958659999997</v>
      </c>
      <c r="H227" s="14">
        <v>0</v>
      </c>
      <c r="I227" s="14"/>
      <c r="J227" s="14"/>
    </row>
    <row r="228" spans="1:10" x14ac:dyDescent="0.25">
      <c r="A228" s="7">
        <v>43691</v>
      </c>
      <c r="B228" s="8" t="str">
        <f>HYPERLINK("Y:\Brents\Brent Charlie\Brent Charlie Oil Export\6. General Information\Oil Export Totaliser Error\MR 2019\14.08.2019.xlsx","14.08.2019.xlsx")</f>
        <v>14.08.2019.xlsx</v>
      </c>
      <c r="C228" s="14">
        <v>66644.937118999995</v>
      </c>
      <c r="D228" s="14">
        <v>0</v>
      </c>
      <c r="E228" s="14">
        <v>65172.326627000002</v>
      </c>
      <c r="F228" s="14">
        <v>0</v>
      </c>
      <c r="G228" s="14">
        <v>52892.958659999997</v>
      </c>
      <c r="H228" s="14">
        <v>0</v>
      </c>
      <c r="I228" s="14"/>
      <c r="J228" s="14"/>
    </row>
    <row r="229" spans="1:10" x14ac:dyDescent="0.25">
      <c r="A229" s="7">
        <v>43692</v>
      </c>
      <c r="B229" s="8" t="str">
        <f>HYPERLINK("Y:\Brents\Brent Charlie\Brent Charlie Oil Export\6. General Information\Oil Export Totaliser Error\MR 2019\15.08.2019.xlsx","15.08.2019.xlsx")</f>
        <v>15.08.2019.xlsx</v>
      </c>
      <c r="C229" s="14">
        <v>66644.937118999995</v>
      </c>
      <c r="D229" s="14">
        <v>0</v>
      </c>
      <c r="E229" s="14">
        <v>65172.326627000002</v>
      </c>
      <c r="F229" s="14">
        <v>0</v>
      </c>
      <c r="G229" s="14">
        <v>52892.958659999997</v>
      </c>
      <c r="H229" s="14">
        <v>0</v>
      </c>
      <c r="I229" s="14"/>
      <c r="J229" s="14"/>
    </row>
    <row r="230" spans="1:10" x14ac:dyDescent="0.25">
      <c r="A230" s="7">
        <v>43693</v>
      </c>
      <c r="B230" s="8" t="str">
        <f>HYPERLINK("Y:\Brents\Brent Charlie\Brent Charlie Oil Export\6. General Information\Oil Export Totaliser Error\MR 2019\16.08.2019.xlsx","16.08.2019.xlsx")</f>
        <v>16.08.2019.xlsx</v>
      </c>
      <c r="C230" s="14">
        <v>66644.937118999995</v>
      </c>
      <c r="D230" s="14">
        <v>0</v>
      </c>
      <c r="E230" s="14">
        <v>65172.326627000002</v>
      </c>
      <c r="F230" s="14">
        <v>0</v>
      </c>
      <c r="G230" s="14">
        <v>52892.958659999997</v>
      </c>
      <c r="H230" s="14">
        <v>0</v>
      </c>
      <c r="I230" s="14"/>
      <c r="J230" s="14"/>
    </row>
    <row r="231" spans="1:10" x14ac:dyDescent="0.25">
      <c r="A231" s="7">
        <v>43694</v>
      </c>
      <c r="B231" s="8" t="str">
        <f>HYPERLINK("Y:\Brents\Brent Charlie\Brent Charlie Oil Export\6. General Information\Oil Export Totaliser Error\MR 2019\17.08.2019.xlsx","17.08.2019.xlsx")</f>
        <v>17.08.2019.xlsx</v>
      </c>
      <c r="C231" s="14">
        <v>66644.937118999995</v>
      </c>
      <c r="D231" s="14">
        <v>0</v>
      </c>
      <c r="E231" s="14">
        <v>65172.326627000002</v>
      </c>
      <c r="F231" s="14">
        <v>0</v>
      </c>
      <c r="G231" s="14">
        <v>52892.958659999997</v>
      </c>
      <c r="H231" s="14">
        <v>0</v>
      </c>
      <c r="I231" s="14"/>
      <c r="J231" s="14"/>
    </row>
    <row r="232" spans="1:10" x14ac:dyDescent="0.25">
      <c r="A232" s="7">
        <v>43695</v>
      </c>
      <c r="B232" s="8" t="str">
        <f>HYPERLINK("Y:\Brents\Brent Charlie\Brent Charlie Oil Export\6. General Information\Oil Export Totaliser Error\MR 2019\18.08.2019.xlsx","18.08.2019.xlsx")</f>
        <v>18.08.2019.xlsx</v>
      </c>
      <c r="C232" s="14">
        <v>66644.937118999995</v>
      </c>
      <c r="D232" s="14">
        <v>0</v>
      </c>
      <c r="E232" s="14">
        <v>65172.326627000002</v>
      </c>
      <c r="F232" s="14">
        <v>0</v>
      </c>
      <c r="G232" s="14">
        <v>52892.958659999997</v>
      </c>
      <c r="H232" s="14">
        <v>0</v>
      </c>
      <c r="I232" s="14"/>
      <c r="J232" s="14"/>
    </row>
    <row r="233" spans="1:10" x14ac:dyDescent="0.25">
      <c r="A233" s="7">
        <v>43696</v>
      </c>
      <c r="B233" s="8" t="str">
        <f>HYPERLINK("Y:\Brents\Brent Charlie\Brent Charlie Oil Export\6. General Information\Oil Export Totaliser Error\MR 2019\19.08.2019.xlsx","19.08.2019.xlsx")</f>
        <v>19.08.2019.xlsx</v>
      </c>
      <c r="C233" s="14">
        <v>66644.937118999995</v>
      </c>
      <c r="D233" s="14">
        <v>0</v>
      </c>
      <c r="E233" s="14">
        <v>65172.326627000002</v>
      </c>
      <c r="F233" s="14">
        <v>0</v>
      </c>
      <c r="G233" s="14">
        <v>52892.958659999997</v>
      </c>
      <c r="H233" s="14">
        <v>0</v>
      </c>
      <c r="I233" s="14"/>
      <c r="J233" s="14"/>
    </row>
    <row r="234" spans="1:10" x14ac:dyDescent="0.25">
      <c r="A234" s="7">
        <v>43697</v>
      </c>
      <c r="B234" s="8" t="str">
        <f>HYPERLINK("Y:\Brents\Brent Charlie\Brent Charlie Oil Export\6. General Information\Oil Export Totaliser Error\MR 2019\20.08.2019.xlsx","20.08.2019.xlsx")</f>
        <v>20.08.2019.xlsx</v>
      </c>
      <c r="C234" s="14">
        <v>70153.750312000004</v>
      </c>
      <c r="D234" s="14">
        <v>3508.8130000000001</v>
      </c>
      <c r="E234" s="14">
        <v>68612.108322999993</v>
      </c>
      <c r="F234" s="14">
        <v>3439.7820000000002</v>
      </c>
      <c r="G234" s="14">
        <v>55680.944552000001</v>
      </c>
      <c r="H234" s="14">
        <v>2787.9859999999999</v>
      </c>
      <c r="I234" s="14"/>
      <c r="J234" s="14"/>
    </row>
    <row r="235" spans="1:10" x14ac:dyDescent="0.25">
      <c r="A235" s="7">
        <v>43698</v>
      </c>
      <c r="B235" s="8" t="str">
        <f>HYPERLINK("Y:\Brents\Brent Charlie\Brent Charlie Oil Export\6. General Information\Oil Export Totaliser Error\MR 2019\21.08.2019.xlsx","21.08.2019.xlsx")</f>
        <v>21.08.2019.xlsx</v>
      </c>
      <c r="C235" s="14">
        <v>70153.750312000004</v>
      </c>
      <c r="D235" s="14">
        <v>0</v>
      </c>
      <c r="E235" s="14">
        <v>68612.108322999993</v>
      </c>
      <c r="F235" s="14">
        <v>0</v>
      </c>
      <c r="G235" s="14">
        <v>55680.944552000001</v>
      </c>
      <c r="H235" s="14">
        <v>0</v>
      </c>
      <c r="I235" s="14"/>
      <c r="J235" s="14"/>
    </row>
    <row r="236" spans="1:10" x14ac:dyDescent="0.25">
      <c r="A236" s="7">
        <v>43699</v>
      </c>
      <c r="B236" s="8" t="str">
        <f>HYPERLINK("Y:\Brents\Brent Charlie\Brent Charlie Oil Export\6. General Information\Oil Export Totaliser Error\MR 2019\22.08.2019.xlsx","22.08.2019.xlsx")</f>
        <v>22.08.2019.xlsx</v>
      </c>
      <c r="C236" s="14">
        <v>70153.750312000004</v>
      </c>
      <c r="D236" s="14">
        <v>0</v>
      </c>
      <c r="E236" s="14">
        <v>68612.108322999993</v>
      </c>
      <c r="F236" s="14">
        <v>0</v>
      </c>
      <c r="G236" s="14">
        <v>55680.944552000001</v>
      </c>
      <c r="H236" s="14">
        <v>0</v>
      </c>
      <c r="I236" s="14"/>
      <c r="J236" s="14"/>
    </row>
    <row r="237" spans="1:10" x14ac:dyDescent="0.25">
      <c r="A237" s="7">
        <v>43700</v>
      </c>
      <c r="B237" s="8" t="str">
        <f>HYPERLINK("Y:\Brents\Brent Charlie\Brent Charlie Oil Export\6. General Information\Oil Export Totaliser Error\MR 2019\23.08.2019.xlsx","23.08.2019.xlsx")</f>
        <v>23.08.2019.xlsx</v>
      </c>
      <c r="C237" s="14">
        <v>70153.750312000004</v>
      </c>
      <c r="D237" s="14">
        <v>0</v>
      </c>
      <c r="E237" s="14">
        <v>68612.108322999993</v>
      </c>
      <c r="F237" s="14">
        <v>0</v>
      </c>
      <c r="G237" s="14">
        <v>55680.944552000001</v>
      </c>
      <c r="H237" s="14">
        <v>0</v>
      </c>
      <c r="I237" s="14"/>
      <c r="J237" s="14"/>
    </row>
    <row r="238" spans="1:10" x14ac:dyDescent="0.25">
      <c r="A238" s="7">
        <v>43701</v>
      </c>
      <c r="B238" s="8" t="str">
        <f>HYPERLINK("Y:\Brents\Brent Charlie\Brent Charlie Oil Export\6. General Information\Oil Export Totaliser Error\MR 2019\24.08.2019.xlsx","24.08.2019.xlsx")</f>
        <v>24.08.2019.xlsx</v>
      </c>
      <c r="C238" s="14">
        <v>70153.750312000004</v>
      </c>
      <c r="D238" s="14">
        <v>0</v>
      </c>
      <c r="E238" s="14">
        <v>68612.108322999993</v>
      </c>
      <c r="F238" s="14">
        <v>0</v>
      </c>
      <c r="G238" s="14">
        <v>55680.944552000001</v>
      </c>
      <c r="H238" s="14">
        <v>0</v>
      </c>
      <c r="I238" s="14"/>
      <c r="J238" s="14"/>
    </row>
    <row r="239" spans="1:10" x14ac:dyDescent="0.25">
      <c r="A239" s="7">
        <v>43702</v>
      </c>
      <c r="B239" s="8" t="str">
        <f>HYPERLINK("Y:\Brents\Brent Charlie\Brent Charlie Oil Export\6. General Information\Oil Export Totaliser Error\MR 2019\25.08.2019.xlsx","25.08.2019.xlsx")</f>
        <v>25.08.2019.xlsx</v>
      </c>
      <c r="C239" s="14">
        <v>70153.750312000004</v>
      </c>
      <c r="D239" s="14">
        <v>0</v>
      </c>
      <c r="E239" s="14">
        <v>68612.108322999993</v>
      </c>
      <c r="F239" s="14">
        <v>0</v>
      </c>
      <c r="G239" s="14">
        <v>55680.944552000001</v>
      </c>
      <c r="H239" s="14">
        <v>0</v>
      </c>
      <c r="I239" s="14"/>
      <c r="J239" s="14"/>
    </row>
    <row r="240" spans="1:10" x14ac:dyDescent="0.25">
      <c r="A240" s="7">
        <v>43703</v>
      </c>
      <c r="B240" s="8" t="str">
        <f>HYPERLINK("Y:\Brents\Brent Charlie\Brent Charlie Oil Export\6. General Information\Oil Export Totaliser Error\MR 2019\26.08.2019.xlsx","26.08.2019.xlsx")</f>
        <v>26.08.2019.xlsx</v>
      </c>
      <c r="C240" s="14">
        <v>70154.293453999999</v>
      </c>
      <c r="D240" s="14">
        <v>0.54300000000000004</v>
      </c>
      <c r="E240" s="14">
        <v>68612.650154999996</v>
      </c>
      <c r="F240" s="14">
        <v>0.54200000000000004</v>
      </c>
      <c r="G240" s="14">
        <v>55681.038395000003</v>
      </c>
      <c r="H240" s="14">
        <v>0.439</v>
      </c>
      <c r="I240" s="14"/>
      <c r="J240" s="14"/>
    </row>
    <row r="241" spans="1:10" x14ac:dyDescent="0.25">
      <c r="A241" s="7">
        <v>43704</v>
      </c>
      <c r="B241" s="8" t="str">
        <f>HYPERLINK("Y:\Brents\Brent Charlie\Brent Charlie Oil Export\6. General Information\Oil Export Totaliser Error\MR 2019\27.08.2019.xlsx","27.08.2019.xlsx")</f>
        <v>27.08.2019.xlsx</v>
      </c>
      <c r="C241" s="14">
        <v>74661.400217000002</v>
      </c>
      <c r="D241" s="14">
        <v>4507.107</v>
      </c>
      <c r="E241" s="14">
        <v>73032.307027000003</v>
      </c>
      <c r="F241" s="14">
        <v>4419.6570000000002</v>
      </c>
      <c r="G241" s="14">
        <v>59252.702304999999</v>
      </c>
      <c r="H241" s="14">
        <v>3571.3180000000002</v>
      </c>
      <c r="I241" s="14"/>
      <c r="J241" s="14"/>
    </row>
    <row r="242" spans="1:10" x14ac:dyDescent="0.25">
      <c r="A242" s="7">
        <v>43705</v>
      </c>
      <c r="B242" s="8" t="str">
        <f>HYPERLINK("Y:\Brents\Brent Charlie\Brent Charlie Oil Export\6. General Information\Oil Export Totaliser Error\MR 2019\28.08.2019.xlsx","28.08.2019.xlsx")</f>
        <v>28.08.2019.xlsx</v>
      </c>
      <c r="C242" s="14">
        <v>80023.804526000007</v>
      </c>
      <c r="D242" s="14">
        <v>5362.4040000000005</v>
      </c>
      <c r="E242" s="14">
        <v>78271.754287000003</v>
      </c>
      <c r="F242" s="14">
        <v>5239.4470000000001</v>
      </c>
      <c r="G242" s="14">
        <v>63500.563124</v>
      </c>
      <c r="H242" s="14">
        <v>4247.8609999999999</v>
      </c>
      <c r="I242" s="14"/>
      <c r="J242" s="14"/>
    </row>
    <row r="243" spans="1:10" x14ac:dyDescent="0.25">
      <c r="A243" s="7">
        <v>43706</v>
      </c>
      <c r="B243" s="8" t="str">
        <f>HYPERLINK("Y:\Brents\Brent Charlie\Brent Charlie Oil Export\6. General Information\Oil Export Totaliser Error\MR 2019\29.08.2019.xlsx","29.08.2019.xlsx")</f>
        <v>29.08.2019.xlsx</v>
      </c>
      <c r="C243" s="14">
        <v>82885.417784999998</v>
      </c>
      <c r="D243" s="14">
        <v>2861.6129999999998</v>
      </c>
      <c r="E243" s="14">
        <v>81070.372663000002</v>
      </c>
      <c r="F243" s="14">
        <v>2798.6179999999999</v>
      </c>
      <c r="G243" s="14">
        <v>65763.413736999995</v>
      </c>
      <c r="H243" s="14">
        <v>2262.8510000000001</v>
      </c>
      <c r="I243" s="14"/>
      <c r="J243" s="14"/>
    </row>
    <row r="244" spans="1:10" x14ac:dyDescent="0.25">
      <c r="A244" s="7">
        <v>43711</v>
      </c>
      <c r="B244" s="8" t="str">
        <f>HYPERLINK("Y:\Brents\Brent Charlie\Brent Charlie Oil Export\6. General Information\Oil Export Totaliser Error\MR 2019\03.09.2019.xlsx","03.09.2019.xlsx")</f>
        <v>03.09.2019.xlsx</v>
      </c>
      <c r="C244" s="14">
        <v>86474.624876000002</v>
      </c>
      <c r="D244" s="14">
        <v>3589.2069999999999</v>
      </c>
      <c r="E244" s="14">
        <v>84574.685851000002</v>
      </c>
      <c r="F244" s="14">
        <v>3504.3130000000001</v>
      </c>
      <c r="G244" s="14">
        <v>68605.844133000006</v>
      </c>
      <c r="H244" s="14">
        <v>2842.43</v>
      </c>
      <c r="I244" s="14"/>
      <c r="J244" s="14"/>
    </row>
    <row r="245" spans="1:10" x14ac:dyDescent="0.25">
      <c r="A245" s="7">
        <v>43712</v>
      </c>
      <c r="B245" s="8" t="str">
        <f>HYPERLINK("Y:\Brents\Brent Charlie\Brent Charlie Oil Export\6. General Information\Oil Export Totaliser Error\MR 2019\04.09.2019.xlsx","04.09.2019.xlsx")</f>
        <v>04.09.2019.xlsx</v>
      </c>
      <c r="C245" s="14">
        <v>95484.186495000002</v>
      </c>
      <c r="D245" s="14">
        <v>9009.5619999999999</v>
      </c>
      <c r="E245" s="14">
        <v>93396.958312999996</v>
      </c>
      <c r="F245" s="14">
        <v>8822.2720000000008</v>
      </c>
      <c r="G245" s="14">
        <v>75758.900640000007</v>
      </c>
      <c r="H245" s="14">
        <v>7153.0569999999998</v>
      </c>
      <c r="I245" s="14"/>
      <c r="J245" s="14"/>
    </row>
    <row r="246" spans="1:10" x14ac:dyDescent="0.25">
      <c r="A246" s="7">
        <v>43713</v>
      </c>
      <c r="B246" s="8" t="str">
        <f>HYPERLINK("Y:\Brents\Brent Charlie\Brent Charlie Oil Export\6. General Information\Oil Export Totaliser Error\MR 2019\05.09.2019.xlsx","05.09.2019.xlsx")</f>
        <v>05.09.2019.xlsx</v>
      </c>
      <c r="C246" s="14">
        <v>98872.390866999995</v>
      </c>
      <c r="D246" s="14">
        <v>3388.2040000000002</v>
      </c>
      <c r="E246" s="14">
        <v>96714.788688000001</v>
      </c>
      <c r="F246" s="14">
        <v>3317.83</v>
      </c>
      <c r="G246" s="14">
        <v>78453.160875999994</v>
      </c>
      <c r="H246" s="14">
        <v>2694.26</v>
      </c>
      <c r="I246" s="14"/>
      <c r="J246" s="14"/>
    </row>
    <row r="247" spans="1:10" x14ac:dyDescent="0.25">
      <c r="A247" s="7">
        <v>43714</v>
      </c>
      <c r="B247" s="8" t="str">
        <f>HYPERLINK("Y:\Brents\Brent Charlie\Brent Charlie Oil Export\6. General Information\Oil Export Totaliser Error\MR 2019\06.09.2019.xlsx","06.09.2019.xlsx")</f>
        <v>06.09.2019.xlsx</v>
      </c>
      <c r="C247" s="14">
        <v>98872.390866999995</v>
      </c>
      <c r="D247" s="14">
        <v>0</v>
      </c>
      <c r="E247" s="14">
        <v>96714.788688000001</v>
      </c>
      <c r="F247" s="14">
        <v>0</v>
      </c>
      <c r="G247" s="14">
        <v>78453.160875999994</v>
      </c>
      <c r="H247" s="14">
        <v>0</v>
      </c>
      <c r="I247" s="14"/>
      <c r="J247" s="14"/>
    </row>
    <row r="248" spans="1:10" x14ac:dyDescent="0.25">
      <c r="A248" s="7">
        <v>43715</v>
      </c>
      <c r="B248" s="8" t="str">
        <f>HYPERLINK("Y:\Brents\Brent Charlie\Brent Charlie Oil Export\6. General Information\Oil Export Totaliser Error\MR 2019\07.09.2019.xlsx","07.09.2019.xlsx")</f>
        <v>07.09.2019.xlsx</v>
      </c>
      <c r="C248" s="14">
        <v>98872.390866999995</v>
      </c>
      <c r="D248" s="14">
        <v>0</v>
      </c>
      <c r="E248" s="14">
        <v>96714.788688000001</v>
      </c>
      <c r="F248" s="14">
        <v>0</v>
      </c>
      <c r="G248" s="14">
        <v>78453.160875999994</v>
      </c>
      <c r="H248" s="14">
        <v>0</v>
      </c>
      <c r="I248" s="14"/>
      <c r="J248" s="14"/>
    </row>
    <row r="249" spans="1:10" x14ac:dyDescent="0.25">
      <c r="A249" s="7">
        <v>43716</v>
      </c>
      <c r="B249" s="8" t="str">
        <f>HYPERLINK("Y:\Brents\Brent Charlie\Brent Charlie Oil Export\6. General Information\Oil Export Totaliser Error\MR 2019\08.09.2019.xlsx","08.09.2019.xlsx")</f>
        <v>08.09.2019.xlsx</v>
      </c>
      <c r="C249" s="14">
        <v>98872.390866999995</v>
      </c>
      <c r="D249" s="14">
        <v>0</v>
      </c>
      <c r="E249" s="14">
        <v>96714.788688000001</v>
      </c>
      <c r="F249" s="14">
        <v>0</v>
      </c>
      <c r="G249" s="14">
        <v>78453.160875999994</v>
      </c>
      <c r="H249" s="14">
        <v>0</v>
      </c>
      <c r="I249" s="14"/>
      <c r="J249" s="14"/>
    </row>
    <row r="250" spans="1:10" x14ac:dyDescent="0.25">
      <c r="A250" s="7">
        <v>43717</v>
      </c>
      <c r="B250" s="8" t="str">
        <f>HYPERLINK("Y:\Brents\Brent Charlie\Brent Charlie Oil Export\6. General Information\Oil Export Totaliser Error\MR 2019\09.09.2019.xlsx","09.09.2019.xlsx")</f>
        <v>09.09.2019.xlsx</v>
      </c>
      <c r="C250" s="14">
        <v>98872.390866999995</v>
      </c>
      <c r="D250" s="14">
        <v>0</v>
      </c>
      <c r="E250" s="14">
        <v>96714.788688000001</v>
      </c>
      <c r="F250" s="14">
        <v>0</v>
      </c>
      <c r="G250" s="14">
        <v>78453.160875999994</v>
      </c>
      <c r="H250" s="14">
        <v>0</v>
      </c>
      <c r="I250" s="14"/>
      <c r="J250" s="14"/>
    </row>
    <row r="251" spans="1:10" x14ac:dyDescent="0.25">
      <c r="A251" s="7">
        <v>43718</v>
      </c>
      <c r="B251" s="8" t="str">
        <f>HYPERLINK("Y:\Brents\Brent Charlie\Brent Charlie Oil Export\6. General Information\Oil Export Totaliser Error\MR 2019\10.09.2019.xlsx","10.09.2019.xlsx")</f>
        <v>10.09.2019.xlsx</v>
      </c>
      <c r="C251" s="14">
        <v>98872.390866999995</v>
      </c>
      <c r="D251" s="14">
        <v>0</v>
      </c>
      <c r="E251" s="14">
        <v>96714.788688000001</v>
      </c>
      <c r="F251" s="14">
        <v>0</v>
      </c>
      <c r="G251" s="14">
        <v>78453.160875999994</v>
      </c>
      <c r="H251" s="14">
        <v>0</v>
      </c>
      <c r="I251" s="14"/>
      <c r="J251" s="14"/>
    </row>
    <row r="252" spans="1:10" x14ac:dyDescent="0.25">
      <c r="A252" s="7">
        <v>43719</v>
      </c>
      <c r="B252" s="8" t="str">
        <f>HYPERLINK("Y:\Brents\Brent Charlie\Brent Charlie Oil Export\6. General Information\Oil Export Totaliser Error\MR 2019\11.09.2019.xlsx","11.09.2019.xlsx")</f>
        <v>11.09.2019.xlsx</v>
      </c>
      <c r="C252" s="14">
        <v>98872.390866999995</v>
      </c>
      <c r="D252" s="14">
        <v>0</v>
      </c>
      <c r="E252" s="14">
        <v>96714.788688000001</v>
      </c>
      <c r="F252" s="14">
        <v>0</v>
      </c>
      <c r="G252" s="14">
        <v>78453.160875999994</v>
      </c>
      <c r="H252" s="14">
        <v>0</v>
      </c>
      <c r="I252" s="14"/>
      <c r="J252" s="14"/>
    </row>
    <row r="253" spans="1:10" x14ac:dyDescent="0.25">
      <c r="A253" s="7">
        <v>43720</v>
      </c>
      <c r="B253" s="8" t="str">
        <f>HYPERLINK("Y:\Brents\Brent Charlie\Brent Charlie Oil Export\6. General Information\Oil Export Totaliser Error\MR 2019\12.09.2019.xlsx","12.09.2019.xlsx")</f>
        <v>12.09.2019.xlsx</v>
      </c>
      <c r="C253" s="14">
        <v>98872.390866999995</v>
      </c>
      <c r="D253" s="14">
        <v>0</v>
      </c>
      <c r="E253" s="14">
        <v>96714.788688000001</v>
      </c>
      <c r="F253" s="14">
        <v>0</v>
      </c>
      <c r="G253" s="14">
        <v>78453.160875999994</v>
      </c>
      <c r="H253" s="14">
        <v>0</v>
      </c>
      <c r="I253" s="14"/>
      <c r="J253" s="14"/>
    </row>
    <row r="254" spans="1:10" x14ac:dyDescent="0.25">
      <c r="A254" s="7">
        <v>43721</v>
      </c>
      <c r="B254" s="8" t="str">
        <f>HYPERLINK("Y:\Brents\Brent Charlie\Brent Charlie Oil Export\6. General Information\Oil Export Totaliser Error\MR 2019\13.09.2019.xlsx","13.09.2019.xlsx")</f>
        <v>13.09.2019.xlsx</v>
      </c>
      <c r="C254" s="14">
        <v>98872.390866999995</v>
      </c>
      <c r="D254" s="14">
        <v>0</v>
      </c>
      <c r="E254" s="14">
        <v>96714.788688000001</v>
      </c>
      <c r="F254" s="14">
        <v>0</v>
      </c>
      <c r="G254" s="14">
        <v>78453.160875999994</v>
      </c>
      <c r="H254" s="14">
        <v>0</v>
      </c>
      <c r="I254" s="14"/>
      <c r="J254" s="14"/>
    </row>
    <row r="255" spans="1:10" x14ac:dyDescent="0.25">
      <c r="A255" s="7">
        <v>43722</v>
      </c>
      <c r="B255" s="8" t="str">
        <f>HYPERLINK("Y:\Brents\Brent Charlie\Brent Charlie Oil Export\6. General Information\Oil Export Totaliser Error\MR 2019\14.09.2019.xlsx","14.09.2019.xlsx")</f>
        <v>14.09.2019.xlsx</v>
      </c>
      <c r="C255" s="14">
        <v>98872.390866999995</v>
      </c>
      <c r="D255" s="14">
        <v>0</v>
      </c>
      <c r="E255" s="14">
        <v>96714.788688000001</v>
      </c>
      <c r="F255" s="14">
        <v>0</v>
      </c>
      <c r="G255" s="14">
        <v>78453.160875999994</v>
      </c>
      <c r="H255" s="14">
        <v>0</v>
      </c>
      <c r="I255" s="14"/>
      <c r="J255" s="14"/>
    </row>
    <row r="256" spans="1:10" x14ac:dyDescent="0.25">
      <c r="A256" s="7">
        <v>43723</v>
      </c>
      <c r="B256" s="8" t="str">
        <f>HYPERLINK("Y:\Brents\Brent Charlie\Brent Charlie Oil Export\6. General Information\Oil Export Totaliser Error\MR 2019\15.09.2019.xlsx","15.09.2019.xlsx")</f>
        <v>15.09.2019.xlsx</v>
      </c>
      <c r="C256" s="14">
        <v>98872.390866999995</v>
      </c>
      <c r="D256" s="14">
        <v>0</v>
      </c>
      <c r="E256" s="14">
        <v>96714.788688000001</v>
      </c>
      <c r="F256" s="14">
        <v>0</v>
      </c>
      <c r="G256" s="14">
        <v>78453.160875999994</v>
      </c>
      <c r="H256" s="14">
        <v>0</v>
      </c>
      <c r="I256" s="14"/>
      <c r="J256" s="14"/>
    </row>
    <row r="257" spans="1:10" x14ac:dyDescent="0.25">
      <c r="A257" s="7">
        <v>43724</v>
      </c>
      <c r="B257" s="8" t="str">
        <f>HYPERLINK("Y:\Brents\Brent Charlie\Brent Charlie Oil Export\6. General Information\Oil Export Totaliser Error\MR 2019\16.09.2019.xlsx","16.09.2019.xlsx")</f>
        <v>16.09.2019.xlsx</v>
      </c>
      <c r="C257" s="14">
        <v>98872.390866999995</v>
      </c>
      <c r="D257" s="14">
        <v>0</v>
      </c>
      <c r="E257" s="14">
        <v>96714.788688000001</v>
      </c>
      <c r="F257" s="14">
        <v>0</v>
      </c>
      <c r="G257" s="14">
        <v>78453.160875999994</v>
      </c>
      <c r="H257" s="14">
        <v>0</v>
      </c>
      <c r="I257" s="14"/>
      <c r="J257" s="14"/>
    </row>
    <row r="258" spans="1:10" x14ac:dyDescent="0.25">
      <c r="A258" s="7">
        <v>43725</v>
      </c>
      <c r="B258" s="8" t="str">
        <f>HYPERLINK("Y:\Brents\Brent Charlie\Brent Charlie Oil Export\6. General Information\Oil Export Totaliser Error\MR 2019\17.09.2019.xlsx","17.09.2019.xlsx")</f>
        <v>17.09.2019.xlsx</v>
      </c>
      <c r="C258" s="14">
        <v>98872.390866999995</v>
      </c>
      <c r="D258" s="14">
        <v>0</v>
      </c>
      <c r="E258" s="14">
        <v>96714.788688000001</v>
      </c>
      <c r="F258" s="14">
        <v>0</v>
      </c>
      <c r="G258" s="14">
        <v>78453.160875999994</v>
      </c>
      <c r="H258" s="14">
        <v>0</v>
      </c>
      <c r="I258" s="14"/>
      <c r="J258" s="14"/>
    </row>
    <row r="259" spans="1:10" x14ac:dyDescent="0.25">
      <c r="A259" s="7">
        <v>43726</v>
      </c>
      <c r="B259" s="8" t="str">
        <f>HYPERLINK("Y:\Brents\Brent Charlie\Brent Charlie Oil Export\6. General Information\Oil Export Totaliser Error\MR 2019\18.09.2019.xlsx","18.09.2019.xlsx")</f>
        <v>18.09.2019.xlsx</v>
      </c>
      <c r="C259" s="14">
        <v>98872.390866999995</v>
      </c>
      <c r="D259" s="14">
        <v>0</v>
      </c>
      <c r="E259" s="14">
        <v>96714.788688000001</v>
      </c>
      <c r="F259" s="14">
        <v>0</v>
      </c>
      <c r="G259" s="14">
        <v>78453.160875999994</v>
      </c>
      <c r="H259" s="14">
        <v>0</v>
      </c>
      <c r="I259" s="14"/>
      <c r="J259" s="14"/>
    </row>
    <row r="260" spans="1:10" x14ac:dyDescent="0.25">
      <c r="A260" s="7">
        <v>43727</v>
      </c>
      <c r="B260" s="8" t="str">
        <f>HYPERLINK("Y:\Brents\Brent Charlie\Brent Charlie Oil Export\6. General Information\Oil Export Totaliser Error\MR 2019\19.09.2019.xlsx","19.09.2019.xlsx")</f>
        <v>19.09.2019.xlsx</v>
      </c>
      <c r="C260" s="14">
        <v>98872.390866999995</v>
      </c>
      <c r="D260" s="14">
        <v>0</v>
      </c>
      <c r="E260" s="14">
        <v>96714.788688000001</v>
      </c>
      <c r="F260" s="14">
        <v>0</v>
      </c>
      <c r="G260" s="14">
        <v>78453.160875999994</v>
      </c>
      <c r="H260" s="14">
        <v>0</v>
      </c>
      <c r="I260" s="14"/>
      <c r="J260" s="14"/>
    </row>
    <row r="261" spans="1:10" x14ac:dyDescent="0.25">
      <c r="A261" s="7">
        <v>43728</v>
      </c>
      <c r="B261" s="8" t="str">
        <f>HYPERLINK("Y:\Brents\Brent Charlie\Brent Charlie Oil Export\6. General Information\Oil Export Totaliser Error\MR 2019\20.09.2019.xlsx","20.09.2019.xlsx")</f>
        <v>20.09.2019.xlsx</v>
      </c>
      <c r="C261" s="14">
        <v>98872.390866999995</v>
      </c>
      <c r="D261" s="14">
        <v>0</v>
      </c>
      <c r="E261" s="14">
        <v>96714.788688000001</v>
      </c>
      <c r="F261" s="14">
        <v>0</v>
      </c>
      <c r="G261" s="14">
        <v>78453.160875999994</v>
      </c>
      <c r="H261" s="14">
        <v>0</v>
      </c>
      <c r="I261" s="14"/>
      <c r="J261" s="14"/>
    </row>
    <row r="262" spans="1:10" x14ac:dyDescent="0.25">
      <c r="A262" s="7">
        <v>43729</v>
      </c>
      <c r="B262" s="8" t="str">
        <f>HYPERLINK("Y:\Brents\Brent Charlie\Brent Charlie Oil Export\6. General Information\Oil Export Totaliser Error\MR 2019\21.09.2019.xlsx","21.09.2019.xlsx")</f>
        <v>21.09.2019.xlsx</v>
      </c>
      <c r="C262" s="14">
        <v>98872.390866999995</v>
      </c>
      <c r="D262" s="14">
        <v>0</v>
      </c>
      <c r="E262" s="14">
        <v>96714.788688000001</v>
      </c>
      <c r="F262" s="14">
        <v>0</v>
      </c>
      <c r="G262" s="14">
        <v>78453.160875999994</v>
      </c>
      <c r="H262" s="14">
        <v>0</v>
      </c>
      <c r="I262" s="14"/>
      <c r="J262" s="14"/>
    </row>
    <row r="263" spans="1:10" x14ac:dyDescent="0.25">
      <c r="A263" s="7">
        <v>43730</v>
      </c>
      <c r="B263" s="8" t="str">
        <f>HYPERLINK("Y:\Brents\Brent Charlie\Brent Charlie Oil Export\6. General Information\Oil Export Totaliser Error\MR 2019\22.09.2019.xlsx","22.09.2019.xlsx")</f>
        <v>22.09.2019.xlsx</v>
      </c>
      <c r="C263" s="14">
        <v>98872.390866999995</v>
      </c>
      <c r="D263" s="14">
        <v>0</v>
      </c>
      <c r="E263" s="14">
        <v>96714.788688000001</v>
      </c>
      <c r="F263" s="14">
        <v>0</v>
      </c>
      <c r="G263" s="14">
        <v>78453.160875999994</v>
      </c>
      <c r="H263" s="14">
        <v>0</v>
      </c>
      <c r="I263" s="14"/>
      <c r="J263" s="14"/>
    </row>
    <row r="264" spans="1:10" x14ac:dyDescent="0.25">
      <c r="A264" s="7">
        <v>43731</v>
      </c>
      <c r="B264" s="8" t="str">
        <f>HYPERLINK("Y:\Brents\Brent Charlie\Brent Charlie Oil Export\6. General Information\Oil Export Totaliser Error\MR 2019\23.09.2019.xlsx","23.09.2019.xlsx")</f>
        <v>23.09.2019.xlsx</v>
      </c>
      <c r="C264" s="14">
        <v>98872.390866999995</v>
      </c>
      <c r="D264" s="14">
        <v>0</v>
      </c>
      <c r="E264" s="14">
        <v>96714.788688000001</v>
      </c>
      <c r="F264" s="14">
        <v>0</v>
      </c>
      <c r="G264" s="14">
        <v>78453.160875999994</v>
      </c>
      <c r="H264" s="14">
        <v>0</v>
      </c>
      <c r="I264" s="14"/>
      <c r="J264" s="14"/>
    </row>
    <row r="265" spans="1:10" x14ac:dyDescent="0.25">
      <c r="A265" s="7">
        <v>43732</v>
      </c>
      <c r="B265" s="8" t="str">
        <f>HYPERLINK("Y:\Brents\Brent Charlie\Brent Charlie Oil Export\6. General Information\Oil Export Totaliser Error\MR 2019\24.09.2019.xlsx","24.09.2019.xlsx")</f>
        <v>24.09.2019.xlsx</v>
      </c>
      <c r="C265" s="14">
        <v>98872.390866999995</v>
      </c>
      <c r="D265" s="14">
        <v>0</v>
      </c>
      <c r="E265" s="14">
        <v>96714.788688000001</v>
      </c>
      <c r="F265" s="14">
        <v>0</v>
      </c>
      <c r="G265" s="14">
        <v>78453.160875999994</v>
      </c>
      <c r="H265" s="14">
        <v>0</v>
      </c>
      <c r="I265" s="14"/>
      <c r="J265" s="14"/>
    </row>
    <row r="266" spans="1:10" x14ac:dyDescent="0.25">
      <c r="A266" s="7">
        <v>43733</v>
      </c>
      <c r="B266" s="8" t="str">
        <f>HYPERLINK("Y:\Brents\Brent Charlie\Brent Charlie Oil Export\6. General Information\Oil Export Totaliser Error\MR 2019\25.09.2019.xlsx","25.09.2019.xlsx")</f>
        <v>25.09.2019.xlsx</v>
      </c>
      <c r="C266" s="14">
        <v>98872.390866999995</v>
      </c>
      <c r="D266" s="14">
        <v>0</v>
      </c>
      <c r="E266" s="14">
        <v>96714.788688000001</v>
      </c>
      <c r="F266" s="14">
        <v>0</v>
      </c>
      <c r="G266" s="14">
        <v>78453.160875999994</v>
      </c>
      <c r="H266" s="14">
        <v>0</v>
      </c>
      <c r="I266" s="14"/>
      <c r="J266" s="14"/>
    </row>
    <row r="267" spans="1:10" x14ac:dyDescent="0.25">
      <c r="A267" s="7">
        <v>43734</v>
      </c>
      <c r="B267" s="8" t="str">
        <f>HYPERLINK("Y:\Brents\Brent Charlie\Brent Charlie Oil Export\6. General Information\Oil Export Totaliser Error\MR 2019\26.09.2019.xlsx","26.09.2019.xlsx")</f>
        <v>26.09.2019.xlsx</v>
      </c>
      <c r="C267" s="14">
        <v>98872.390866999995</v>
      </c>
      <c r="D267" s="14">
        <v>0</v>
      </c>
      <c r="E267" s="14">
        <v>96714.788688000001</v>
      </c>
      <c r="F267" s="14">
        <v>0</v>
      </c>
      <c r="G267" s="14">
        <v>78453.160875999994</v>
      </c>
      <c r="H267" s="14">
        <v>0</v>
      </c>
      <c r="I267" s="14"/>
      <c r="J267" s="14"/>
    </row>
    <row r="268" spans="1:10" x14ac:dyDescent="0.25">
      <c r="A268" s="7">
        <v>43735</v>
      </c>
      <c r="B268" s="8" t="str">
        <f>HYPERLINK("Y:\Brents\Brent Charlie\Brent Charlie Oil Export\6. General Information\Oil Export Totaliser Error\MR 2019\27.09.2019.xlsx","27.09.2019.xlsx")</f>
        <v>27.09.2019.xlsx</v>
      </c>
      <c r="C268" s="14">
        <v>98872.390866999995</v>
      </c>
      <c r="D268" s="14">
        <v>0</v>
      </c>
      <c r="E268" s="14">
        <v>96714.788688000001</v>
      </c>
      <c r="F268" s="14">
        <v>0</v>
      </c>
      <c r="G268" s="14">
        <v>78453.160875999994</v>
      </c>
      <c r="H268" s="14">
        <v>0</v>
      </c>
      <c r="I268" s="14"/>
      <c r="J268" s="14"/>
    </row>
    <row r="269" spans="1:10" x14ac:dyDescent="0.25">
      <c r="A269" s="7">
        <v>43736</v>
      </c>
      <c r="B269" s="8" t="str">
        <f>HYPERLINK("Y:\Brents\Brent Charlie\Brent Charlie Oil Export\6. General Information\Oil Export Totaliser Error\MR 2019\28.09.2019.xlsx","28.09.2019.xlsx")</f>
        <v>28.09.2019.xlsx</v>
      </c>
      <c r="C269" s="14">
        <v>98872.390866999995</v>
      </c>
      <c r="D269" s="14">
        <v>0</v>
      </c>
      <c r="E269" s="14">
        <v>96714.788688000001</v>
      </c>
      <c r="F269" s="14">
        <v>0</v>
      </c>
      <c r="G269" s="14">
        <v>78453.160875999994</v>
      </c>
      <c r="H269" s="14">
        <v>0</v>
      </c>
      <c r="I269" s="14"/>
      <c r="J269" s="14"/>
    </row>
    <row r="270" spans="1:10" x14ac:dyDescent="0.25">
      <c r="A270" s="7">
        <v>43737</v>
      </c>
      <c r="B270" s="8" t="str">
        <f>HYPERLINK("Y:\Brents\Brent Charlie\Brent Charlie Oil Export\6. General Information\Oil Export Totaliser Error\MR 2019\29.09.2019.xlsx","29.09.2019.xlsx")</f>
        <v>29.09.2019.xlsx</v>
      </c>
      <c r="C270" s="14">
        <v>98872.390866999995</v>
      </c>
      <c r="D270" s="14">
        <v>0</v>
      </c>
      <c r="E270" s="14">
        <v>96714.788688000001</v>
      </c>
      <c r="F270" s="14">
        <v>0</v>
      </c>
      <c r="G270" s="14">
        <v>78453.160875999994</v>
      </c>
      <c r="H270" s="14">
        <v>0</v>
      </c>
      <c r="I270" s="14"/>
      <c r="J270" s="14"/>
    </row>
    <row r="271" spans="1:10" x14ac:dyDescent="0.25">
      <c r="A271" s="7">
        <v>43738</v>
      </c>
      <c r="B271" s="8" t="str">
        <f>HYPERLINK("Y:\Brents\Brent Charlie\Brent Charlie Oil Export\6. General Information\Oil Export Totaliser Error\MR 2019\30.09.2019.xlsx","30.09.2019.xlsx")</f>
        <v>30.09.2019.xlsx</v>
      </c>
      <c r="C271" s="14">
        <v>98872.390866999995</v>
      </c>
      <c r="D271" s="14">
        <v>0</v>
      </c>
      <c r="E271" s="14">
        <v>96714.788688000001</v>
      </c>
      <c r="F271" s="14">
        <v>0</v>
      </c>
      <c r="G271" s="14">
        <v>78453.160875999994</v>
      </c>
      <c r="H271" s="14">
        <v>0</v>
      </c>
      <c r="I271" s="14"/>
      <c r="J271" s="14"/>
    </row>
    <row r="272" spans="1:10" x14ac:dyDescent="0.25">
      <c r="A272" s="7">
        <v>43739</v>
      </c>
      <c r="B272" s="8" t="str">
        <f>HYPERLINK("Y:\Brents\Brent Charlie\Brent Charlie Oil Export\6. General Information\Oil Export Totaliser Error\MR 2019\01.10.2019.xlsx","01.10.2019.xlsx")</f>
        <v>01.10.2019.xlsx</v>
      </c>
      <c r="C272" s="14">
        <v>98872.390866999995</v>
      </c>
      <c r="D272" s="14">
        <v>0</v>
      </c>
      <c r="E272" s="14">
        <v>96714.788688000001</v>
      </c>
      <c r="F272" s="14">
        <v>0</v>
      </c>
      <c r="G272" s="14">
        <v>78453.160875999994</v>
      </c>
      <c r="H272" s="14">
        <v>0</v>
      </c>
      <c r="I272" s="14"/>
      <c r="J272" s="14"/>
    </row>
    <row r="273" spans="1:10" x14ac:dyDescent="0.25">
      <c r="A273" s="7">
        <v>43740</v>
      </c>
      <c r="B273" s="8" t="str">
        <f>HYPERLINK("Y:\Brents\Brent Charlie\Brent Charlie Oil Export\6. General Information\Oil Export Totaliser Error\MR 2019\02.10.2019.xlsx","02.10.2019.xlsx")</f>
        <v>02.10.2019.xlsx</v>
      </c>
      <c r="C273" s="14">
        <v>98872.390866999995</v>
      </c>
      <c r="D273" s="14">
        <v>0</v>
      </c>
      <c r="E273" s="14">
        <v>96714.788688000001</v>
      </c>
      <c r="F273" s="14">
        <v>0</v>
      </c>
      <c r="G273" s="14">
        <v>78453.160875999994</v>
      </c>
      <c r="H273" s="14">
        <v>0</v>
      </c>
      <c r="I273" s="14"/>
      <c r="J273" s="14"/>
    </row>
    <row r="274" spans="1:10" x14ac:dyDescent="0.25">
      <c r="A274" s="7">
        <v>43741</v>
      </c>
      <c r="B274" s="8" t="str">
        <f>HYPERLINK("Y:\Brents\Brent Charlie\Brent Charlie Oil Export\6. General Information\Oil Export Totaliser Error\MR 2019\03.10.2019.xlsx","03.10.2019.xlsx")</f>
        <v>03.10.2019.xlsx</v>
      </c>
      <c r="C274" s="14">
        <v>98872.390866999995</v>
      </c>
      <c r="D274" s="14">
        <v>0</v>
      </c>
      <c r="E274" s="14">
        <v>96714.788688000001</v>
      </c>
      <c r="F274" s="14">
        <v>0</v>
      </c>
      <c r="G274" s="14">
        <v>78453.160875999994</v>
      </c>
      <c r="H274" s="14">
        <v>0</v>
      </c>
      <c r="I274" s="14"/>
      <c r="J274" s="14"/>
    </row>
    <row r="275" spans="1:10" x14ac:dyDescent="0.25">
      <c r="A275" s="7">
        <v>43742</v>
      </c>
      <c r="B275" s="8" t="str">
        <f>HYPERLINK("Y:\Brents\Brent Charlie\Brent Charlie Oil Export\6. General Information\Oil Export Totaliser Error\MR 2019\04.10.2019.xlsx","04.10.2019.xlsx")</f>
        <v>04.10.2019.xlsx</v>
      </c>
      <c r="C275" s="14">
        <v>98872.390866999995</v>
      </c>
      <c r="D275" s="14">
        <v>0</v>
      </c>
      <c r="E275" s="14">
        <v>96714.788688000001</v>
      </c>
      <c r="F275" s="14">
        <v>0</v>
      </c>
      <c r="G275" s="14">
        <v>78453.160875999994</v>
      </c>
      <c r="H275" s="14">
        <v>0</v>
      </c>
      <c r="I275" s="14"/>
      <c r="J275" s="14"/>
    </row>
    <row r="276" spans="1:10" x14ac:dyDescent="0.25">
      <c r="A276" s="7">
        <v>43743</v>
      </c>
      <c r="B276" s="8" t="str">
        <f>HYPERLINK("Y:\Brents\Brent Charlie\Brent Charlie Oil Export\6. General Information\Oil Export Totaliser Error\MR 2019\05.10.2019.xlsx","05.10.2019.xlsx")</f>
        <v>05.10.2019.xlsx</v>
      </c>
      <c r="C276" s="14">
        <v>98872.390866999995</v>
      </c>
      <c r="D276" s="14">
        <v>0</v>
      </c>
      <c r="E276" s="14">
        <v>96714.788688000001</v>
      </c>
      <c r="F276" s="14">
        <v>0</v>
      </c>
      <c r="G276" s="14">
        <v>78453.160875999994</v>
      </c>
      <c r="H276" s="14">
        <v>0</v>
      </c>
      <c r="I276" s="14"/>
      <c r="J276" s="14"/>
    </row>
    <row r="277" spans="1:10" x14ac:dyDescent="0.25">
      <c r="A277" s="7">
        <v>43744</v>
      </c>
      <c r="B277" s="8" t="str">
        <f>HYPERLINK("Y:\Brents\Brent Charlie\Brent Charlie Oil Export\6. General Information\Oil Export Totaliser Error\MR 2019\06.10.2019.xlsx","06.10.2019.xlsx")</f>
        <v>06.10.2019.xlsx</v>
      </c>
      <c r="C277" s="14">
        <v>98872.390866999995</v>
      </c>
      <c r="D277" s="14">
        <v>0</v>
      </c>
      <c r="E277" s="14">
        <v>96714.788688000001</v>
      </c>
      <c r="F277" s="14">
        <v>0</v>
      </c>
      <c r="G277" s="14">
        <v>78453.160875999994</v>
      </c>
      <c r="H277" s="14">
        <v>0</v>
      </c>
      <c r="I277" s="14"/>
      <c r="J277" s="14"/>
    </row>
    <row r="278" spans="1:10" x14ac:dyDescent="0.25">
      <c r="A278" s="7">
        <v>43745</v>
      </c>
      <c r="B278" s="8" t="str">
        <f>HYPERLINK("Y:\Brents\Brent Charlie\Brent Charlie Oil Export\6. General Information\Oil Export Totaliser Error\MR 2019\07.10.2019.xlsx","07.10.2019.xlsx")</f>
        <v>07.10.2019.xlsx</v>
      </c>
      <c r="C278" s="14">
        <v>98872.390866999995</v>
      </c>
      <c r="D278" s="14">
        <v>0</v>
      </c>
      <c r="E278" s="14">
        <v>96714.788688000001</v>
      </c>
      <c r="F278" s="14">
        <v>0</v>
      </c>
      <c r="G278" s="14">
        <v>78453.160875999994</v>
      </c>
      <c r="H278" s="14">
        <v>0</v>
      </c>
      <c r="I278" s="14"/>
      <c r="J278" s="14"/>
    </row>
    <row r="279" spans="1:10" x14ac:dyDescent="0.25">
      <c r="A279" s="7">
        <v>43746</v>
      </c>
      <c r="B279" s="8" t="str">
        <f>HYPERLINK("Y:\Brents\Brent Charlie\Brent Charlie Oil Export\6. General Information\Oil Export Totaliser Error\MR 2019\08.10.2019.xlsx","08.10.2019.xlsx")</f>
        <v>08.10.2019.xlsx</v>
      </c>
      <c r="C279" s="14">
        <v>98872.390866999995</v>
      </c>
      <c r="D279" s="14">
        <v>0</v>
      </c>
      <c r="E279" s="14">
        <v>96714.788688000001</v>
      </c>
      <c r="F279" s="14">
        <v>0</v>
      </c>
      <c r="G279" s="14">
        <v>78453.160875999994</v>
      </c>
      <c r="H279" s="14">
        <v>0</v>
      </c>
      <c r="I279" s="14"/>
      <c r="J279" s="14"/>
    </row>
    <row r="280" spans="1:10" x14ac:dyDescent="0.25">
      <c r="A280" s="7">
        <v>43747</v>
      </c>
      <c r="B280" s="8" t="str">
        <f>HYPERLINK("Y:\Brents\Brent Charlie\Brent Charlie Oil Export\6. General Information\Oil Export Totaliser Error\MR 2019\09.10.2019.xlsx","09.10.2019.xlsx")</f>
        <v>09.10.2019.xlsx</v>
      </c>
      <c r="C280" s="14">
        <v>98872.390866999995</v>
      </c>
      <c r="D280" s="14">
        <v>0</v>
      </c>
      <c r="E280" s="14">
        <v>96714.788688000001</v>
      </c>
      <c r="F280" s="14">
        <v>0</v>
      </c>
      <c r="G280" s="14">
        <v>78453.160875999994</v>
      </c>
      <c r="H280" s="14">
        <v>0</v>
      </c>
      <c r="I280" s="14"/>
      <c r="J280" s="14"/>
    </row>
    <row r="281" spans="1:10" x14ac:dyDescent="0.25">
      <c r="A281" s="7">
        <v>43748</v>
      </c>
      <c r="B281" s="8" t="str">
        <f>HYPERLINK("Y:\Brents\Brent Charlie\Brent Charlie Oil Export\6. General Information\Oil Export Totaliser Error\MR 2019\10.10.2019.xlsx","10.10.2019.xlsx")</f>
        <v>10.10.2019.xlsx</v>
      </c>
      <c r="C281" s="14">
        <v>98872.390866999995</v>
      </c>
      <c r="D281" s="14">
        <v>0</v>
      </c>
      <c r="E281" s="14">
        <v>96714.788688000001</v>
      </c>
      <c r="F281" s="14">
        <v>0</v>
      </c>
      <c r="G281" s="14">
        <v>78453.160875999994</v>
      </c>
      <c r="H281" s="14">
        <v>0</v>
      </c>
      <c r="I281" s="14"/>
      <c r="J281" s="14"/>
    </row>
    <row r="282" spans="1:10" x14ac:dyDescent="0.25">
      <c r="A282" s="7">
        <v>43749</v>
      </c>
      <c r="B282" s="8" t="str">
        <f>HYPERLINK("Y:\Brents\Brent Charlie\Brent Charlie Oil Export\6. General Information\Oil Export Totaliser Error\MR 2019\11.10.2019.xlsx","11.10.2019.xlsx")</f>
        <v>11.10.2019.xlsx</v>
      </c>
      <c r="C282" s="14">
        <v>98872.390866999995</v>
      </c>
      <c r="D282" s="14">
        <v>0</v>
      </c>
      <c r="E282" s="14">
        <v>96714.788688000001</v>
      </c>
      <c r="F282" s="14">
        <v>0</v>
      </c>
      <c r="G282" s="14">
        <v>78453.160875999994</v>
      </c>
      <c r="H282" s="14">
        <v>0</v>
      </c>
      <c r="I282" s="14"/>
      <c r="J282" s="14"/>
    </row>
    <row r="283" spans="1:10" x14ac:dyDescent="0.25">
      <c r="A283" s="7">
        <v>43750</v>
      </c>
      <c r="B283" s="8" t="str">
        <f>HYPERLINK("Y:\Brents\Brent Charlie\Brent Charlie Oil Export\6. General Information\Oil Export Totaliser Error\MR 2019\12.10.2019.xlsx","12.10.2019.xlsx")</f>
        <v>12.10.2019.xlsx</v>
      </c>
      <c r="C283" s="14">
        <v>98872.390866999995</v>
      </c>
      <c r="D283" s="14">
        <v>0</v>
      </c>
      <c r="E283" s="14">
        <v>96714.788688000001</v>
      </c>
      <c r="F283" s="14">
        <v>0</v>
      </c>
      <c r="G283" s="14">
        <v>78453.160875999994</v>
      </c>
      <c r="H283" s="14">
        <v>0</v>
      </c>
      <c r="I283" s="14"/>
      <c r="J283" s="14"/>
    </row>
    <row r="284" spans="1:10" x14ac:dyDescent="0.25">
      <c r="A284" s="7">
        <v>43751</v>
      </c>
      <c r="B284" s="8" t="str">
        <f>HYPERLINK("Y:\Brents\Brent Charlie\Brent Charlie Oil Export\6. General Information\Oil Export Totaliser Error\MR 2019\13.10.2019.xlsx","13.10.2019.xlsx")</f>
        <v>13.10.2019.xlsx</v>
      </c>
      <c r="C284" s="14">
        <v>98872.390866999995</v>
      </c>
      <c r="D284" s="14">
        <v>0</v>
      </c>
      <c r="E284" s="14">
        <v>96714.788688000001</v>
      </c>
      <c r="F284" s="14">
        <v>0</v>
      </c>
      <c r="G284" s="14">
        <v>78453.160875999994</v>
      </c>
      <c r="H284" s="14">
        <v>0</v>
      </c>
      <c r="I284" s="14"/>
      <c r="J284" s="14"/>
    </row>
    <row r="285" spans="1:10" x14ac:dyDescent="0.25">
      <c r="A285" s="7">
        <v>43752</v>
      </c>
      <c r="B285" s="8" t="str">
        <f>HYPERLINK("Y:\Brents\Brent Charlie\Brent Charlie Oil Export\6. General Information\Oil Export Totaliser Error\MR 2019\14.10.2019.xlsx","14.10.2019.xlsx")</f>
        <v>14.10.2019.xlsx</v>
      </c>
      <c r="C285" s="14">
        <v>98872.390866999995</v>
      </c>
      <c r="D285" s="14">
        <v>0</v>
      </c>
      <c r="E285" s="14">
        <v>96714.788688000001</v>
      </c>
      <c r="F285" s="14">
        <v>0</v>
      </c>
      <c r="G285" s="14">
        <v>78453.160875999994</v>
      </c>
      <c r="H285" s="14">
        <v>0</v>
      </c>
      <c r="I285" s="14"/>
      <c r="J285" s="14"/>
    </row>
    <row r="286" spans="1:10" x14ac:dyDescent="0.25">
      <c r="A286" s="7">
        <v>43753</v>
      </c>
      <c r="B286" s="8" t="str">
        <f>HYPERLINK("Y:\Brents\Brent Charlie\Brent Charlie Oil Export\6. General Information\Oil Export Totaliser Error\MR 2019\15.10.2019.xlsx","15.10.2019.xlsx")</f>
        <v>15.10.2019.xlsx</v>
      </c>
      <c r="C286" s="14">
        <v>98872.390866999995</v>
      </c>
      <c r="D286" s="14">
        <v>0</v>
      </c>
      <c r="E286" s="14">
        <v>96714.788688000001</v>
      </c>
      <c r="F286" s="14">
        <v>0</v>
      </c>
      <c r="G286" s="14">
        <v>78453.160875999994</v>
      </c>
      <c r="H286" s="14">
        <v>0</v>
      </c>
      <c r="I286" s="14"/>
      <c r="J286" s="14"/>
    </row>
    <row r="287" spans="1:10" x14ac:dyDescent="0.25">
      <c r="A287" s="7">
        <v>43754</v>
      </c>
      <c r="B287" s="8" t="str">
        <f>HYPERLINK("Y:\Brents\Brent Charlie\Brent Charlie Oil Export\6. General Information\Oil Export Totaliser Error\MR 2019\16.10.2019.xlsx","16.10.2019.xlsx")</f>
        <v>16.10.2019.xlsx</v>
      </c>
      <c r="C287" s="14">
        <v>98872.390866999995</v>
      </c>
      <c r="D287" s="14">
        <v>0</v>
      </c>
      <c r="E287" s="14">
        <v>96714.788688000001</v>
      </c>
      <c r="F287" s="14">
        <v>0</v>
      </c>
      <c r="G287" s="14">
        <v>78453.160875999994</v>
      </c>
      <c r="H287" s="14">
        <v>0</v>
      </c>
      <c r="I287" s="14"/>
      <c r="J287" s="14"/>
    </row>
    <row r="288" spans="1:10" x14ac:dyDescent="0.25">
      <c r="A288" s="7">
        <v>43755</v>
      </c>
      <c r="B288" s="8" t="str">
        <f>HYPERLINK("Y:\Brents\Brent Charlie\Brent Charlie Oil Export\6. General Information\Oil Export Totaliser Error\MR 2019\17.10.2019.xlsx","17.10.2019.xlsx")</f>
        <v>17.10.2019.xlsx</v>
      </c>
      <c r="C288" s="14">
        <v>98872.390866999995</v>
      </c>
      <c r="D288" s="14">
        <v>0</v>
      </c>
      <c r="E288" s="14">
        <v>96714.788688000001</v>
      </c>
      <c r="F288" s="14">
        <v>0</v>
      </c>
      <c r="G288" s="14">
        <v>78453.160875999994</v>
      </c>
      <c r="H288" s="14">
        <v>0</v>
      </c>
      <c r="I288" s="14"/>
      <c r="J288" s="14"/>
    </row>
    <row r="289" spans="1:10" x14ac:dyDescent="0.25">
      <c r="A289" s="7">
        <v>43756</v>
      </c>
      <c r="B289" s="8" t="str">
        <f>HYPERLINK("Y:\Brents\Brent Charlie\Brent Charlie Oil Export\6. General Information\Oil Export Totaliser Error\MR 2019\18.10.2019.xlsx","18.10.2019.xlsx")</f>
        <v>18.10.2019.xlsx</v>
      </c>
      <c r="C289" s="14">
        <v>98872.43</v>
      </c>
      <c r="D289" s="14">
        <v>0</v>
      </c>
      <c r="E289" s="14">
        <v>96714.82</v>
      </c>
      <c r="F289" s="14">
        <v>0</v>
      </c>
      <c r="G289" s="14">
        <v>78453.19</v>
      </c>
      <c r="H289" s="14">
        <v>0</v>
      </c>
      <c r="I289" s="14"/>
      <c r="J289" s="14"/>
    </row>
    <row r="290" spans="1:10" x14ac:dyDescent="0.25">
      <c r="A290" s="7">
        <v>43757</v>
      </c>
      <c r="B290" s="8" t="str">
        <f>HYPERLINK("Y:\Brents\Brent Charlie\Brent Charlie Oil Export\6. General Information\Oil Export Totaliser Error\MR 2019\19.10.2019.xlsx","19.10.2019.xlsx")</f>
        <v>19.10.2019.xlsx</v>
      </c>
      <c r="C290" s="14">
        <v>98872.446188000002</v>
      </c>
      <c r="D290" s="14">
        <v>0</v>
      </c>
      <c r="E290" s="14">
        <v>96714.844010000001</v>
      </c>
      <c r="F290" s="14">
        <v>0</v>
      </c>
      <c r="G290" s="14">
        <v>78453.201998999997</v>
      </c>
      <c r="H290" s="14">
        <v>0</v>
      </c>
      <c r="I290" s="14"/>
      <c r="J290" s="14"/>
    </row>
    <row r="291" spans="1:10" x14ac:dyDescent="0.25">
      <c r="A291" s="7">
        <v>43758</v>
      </c>
      <c r="B291" s="8" t="str">
        <f>HYPERLINK("Y:\Brents\Brent Charlie\Brent Charlie Oil Export\6. General Information\Oil Export Totaliser Error\MR 2019\20.10.2019.xlsx","20.10.2019.xlsx")</f>
        <v>20.10.2019.xlsx</v>
      </c>
      <c r="C291" s="14">
        <v>98872.446188000002</v>
      </c>
      <c r="D291" s="14">
        <v>0</v>
      </c>
      <c r="E291" s="14">
        <v>96714.849036</v>
      </c>
      <c r="F291" s="14">
        <v>0</v>
      </c>
      <c r="G291" s="14">
        <v>78453.205977000005</v>
      </c>
      <c r="H291" s="14">
        <v>0</v>
      </c>
      <c r="I291" s="14"/>
      <c r="J291" s="14"/>
    </row>
    <row r="292" spans="1:10" x14ac:dyDescent="0.25">
      <c r="A292" s="7">
        <v>43759</v>
      </c>
      <c r="B292" s="8" t="str">
        <f>HYPERLINK("Y:\Brents\Brent Charlie\Brent Charlie Oil Export\6. General Information\Oil Export Totaliser Error\MR 2019\21.10.2019.xlsx","21.10.2019.xlsx")</f>
        <v>21.10.2019.xlsx</v>
      </c>
      <c r="C292" s="14">
        <v>98872.446188000002</v>
      </c>
      <c r="D292" s="14">
        <v>0</v>
      </c>
      <c r="E292" s="14">
        <v>96714.849036</v>
      </c>
      <c r="F292" s="14">
        <v>0</v>
      </c>
      <c r="G292" s="14">
        <v>78453.205977000005</v>
      </c>
      <c r="H292" s="14">
        <v>0</v>
      </c>
      <c r="I292" s="14"/>
      <c r="J292" s="14"/>
    </row>
    <row r="293" spans="1:10" x14ac:dyDescent="0.25">
      <c r="A293" s="7">
        <v>43760</v>
      </c>
      <c r="B293" s="8" t="str">
        <f>HYPERLINK("Y:\Brents\Brent Charlie\Brent Charlie Oil Export\6. General Information\Oil Export Totaliser Error\MR 2019\22.10.2019.xlsx","22.10.2019.xlsx")</f>
        <v>22.10.2019.xlsx</v>
      </c>
      <c r="C293" s="14">
        <v>98872.446188000002</v>
      </c>
      <c r="D293" s="14">
        <v>0</v>
      </c>
      <c r="E293" s="14">
        <v>96714.849036</v>
      </c>
      <c r="F293" s="14">
        <v>0</v>
      </c>
      <c r="G293" s="14">
        <v>78453.205977000005</v>
      </c>
      <c r="H293" s="14">
        <v>0</v>
      </c>
      <c r="I293" s="14"/>
      <c r="J293" s="14"/>
    </row>
    <row r="294" spans="1:10" x14ac:dyDescent="0.25">
      <c r="A294" s="7">
        <v>43761</v>
      </c>
      <c r="B294" s="8" t="str">
        <f>HYPERLINK("Y:\Brents\Brent Charlie\Brent Charlie Oil Export\6. General Information\Oil Export Totaliser Error\MR 2019\23.10.2019.xlsx","23.10.2019.xlsx")</f>
        <v>23.10.2019.xlsx</v>
      </c>
      <c r="C294" s="14">
        <v>98872.456000000006</v>
      </c>
      <c r="D294" s="14">
        <v>0</v>
      </c>
      <c r="E294" s="14">
        <v>96714.85</v>
      </c>
      <c r="F294" s="14">
        <v>0</v>
      </c>
      <c r="G294" s="14">
        <v>78453.205977000005</v>
      </c>
      <c r="H294" s="14">
        <v>0</v>
      </c>
      <c r="I294" s="14"/>
      <c r="J294" s="14"/>
    </row>
    <row r="295" spans="1:10" x14ac:dyDescent="0.25">
      <c r="A295" s="7">
        <v>43762</v>
      </c>
      <c r="B295" s="8" t="str">
        <f>HYPERLINK("Y:\Brents\Brent Charlie\Brent Charlie Oil Export\6. General Information\Oil Export Totaliser Error\MR 2019\24.10.2019.xlsx","24.10.2019.xlsx")</f>
        <v>24.10.2019.xlsx</v>
      </c>
      <c r="C295" s="14">
        <v>106324.25315600001</v>
      </c>
      <c r="D295" s="14">
        <v>7451.7969999999996</v>
      </c>
      <c r="E295" s="14">
        <v>104028.542504</v>
      </c>
      <c r="F295" s="14">
        <v>7313.6880000000001</v>
      </c>
      <c r="G295" s="14">
        <v>84354.298345000003</v>
      </c>
      <c r="H295" s="14">
        <v>5901.0889999999999</v>
      </c>
      <c r="I295" s="14"/>
      <c r="J295" s="14"/>
    </row>
    <row r="296" spans="1:10" x14ac:dyDescent="0.25">
      <c r="A296" s="7">
        <v>43763</v>
      </c>
      <c r="B296" s="8" t="str">
        <f>HYPERLINK("Y:\Brents\Brent Charlie\Brent Charlie Oil Export\6. General Information\Oil Export Totaliser Error\MR 2019\25.10.2019.xlsx","25.10.2019.xlsx")</f>
        <v>25.10.2019.xlsx</v>
      </c>
      <c r="C296" s="14">
        <v>112803.25523</v>
      </c>
      <c r="D296" s="14">
        <v>6479.0020000000004</v>
      </c>
      <c r="E296" s="14">
        <v>110380.103175</v>
      </c>
      <c r="F296" s="14">
        <v>6351.5609999999997</v>
      </c>
      <c r="G296" s="14">
        <v>89494.218655999997</v>
      </c>
      <c r="H296" s="14">
        <v>5139.92</v>
      </c>
      <c r="I296" s="14"/>
      <c r="J296" s="14"/>
    </row>
    <row r="297" spans="1:10" x14ac:dyDescent="0.25">
      <c r="A297" s="7">
        <v>43764</v>
      </c>
      <c r="B297" s="8" t="str">
        <f>HYPERLINK("Y:\Brents\Brent Charlie\Brent Charlie Oil Export\6. General Information\Oil Export Totaliser Error\MR 2019\26.10.2019.xlsx","26.10.2019.xlsx")</f>
        <v>26.10.2019.xlsx</v>
      </c>
      <c r="C297" s="14">
        <v>119369.58</v>
      </c>
      <c r="D297" s="14">
        <v>6566.33</v>
      </c>
      <c r="E297" s="14">
        <v>116797.4</v>
      </c>
      <c r="F297" s="14">
        <v>6417.3</v>
      </c>
      <c r="G297" s="14">
        <v>94714.45</v>
      </c>
      <c r="H297" s="14">
        <v>5220.2299999999996</v>
      </c>
      <c r="I297" s="14"/>
      <c r="J297" s="14"/>
    </row>
    <row r="298" spans="1:10" x14ac:dyDescent="0.25">
      <c r="A298" s="7">
        <v>43765</v>
      </c>
      <c r="B298" s="8" t="str">
        <f>HYPERLINK("Y:\Brents\Brent Charlie\Brent Charlie Oil Export\6. General Information\Oil Export Totaliser Error\MR 2019\27.10.2019.xlsx","27.10.2019.xlsx")</f>
        <v>27.10.2019.xlsx</v>
      </c>
      <c r="C298" s="14">
        <v>649103.21</v>
      </c>
      <c r="D298" s="14">
        <v>529733.63</v>
      </c>
      <c r="E298" s="14">
        <v>634508.4</v>
      </c>
      <c r="F298" s="14">
        <v>517711</v>
      </c>
      <c r="G298" s="14">
        <v>515852.69</v>
      </c>
      <c r="H298" s="14">
        <v>421138.25</v>
      </c>
      <c r="I298" s="14"/>
      <c r="J298" s="14"/>
    </row>
    <row r="299" spans="1:10" x14ac:dyDescent="0.25">
      <c r="A299" s="7">
        <v>43766</v>
      </c>
      <c r="B299" s="8" t="str">
        <f>HYPERLINK("Y:\Brents\Brent Charlie\Brent Charlie Oil Export\6. General Information\Oil Export Totaliser Error\MR 2019\28.10.2019.xlsx","28.10.2019.xlsx")</f>
        <v>28.10.2019.xlsx</v>
      </c>
      <c r="C299" s="14">
        <v>649103.21</v>
      </c>
      <c r="D299" s="14">
        <v>529733.63</v>
      </c>
      <c r="E299" s="14">
        <v>634508.4</v>
      </c>
      <c r="F299" s="14">
        <v>517711</v>
      </c>
      <c r="G299" s="14">
        <v>515852.69</v>
      </c>
      <c r="H299" s="14">
        <v>421138.25</v>
      </c>
      <c r="I299" s="14"/>
      <c r="J299" s="14"/>
    </row>
    <row r="300" spans="1:10" x14ac:dyDescent="0.25">
      <c r="A300" s="7">
        <v>43767</v>
      </c>
      <c r="B300" s="8" t="str">
        <f>HYPERLINK("Y:\Brents\Brent Charlie\Brent Charlie Oil Export\6. General Information\Oil Export Totaliser Error\MR 2019\29.10.2019.xlsx","29.10.2019.xlsx")</f>
        <v>29.10.2019.xlsx</v>
      </c>
      <c r="C300" s="14">
        <v>649103.21</v>
      </c>
      <c r="D300" s="14">
        <v>529733.63</v>
      </c>
      <c r="E300" s="14">
        <v>634508.4</v>
      </c>
      <c r="F300" s="14">
        <v>517711</v>
      </c>
      <c r="G300" s="14">
        <v>515852.69</v>
      </c>
      <c r="H300" s="14">
        <v>421138.25</v>
      </c>
      <c r="I300" s="14"/>
      <c r="J300" s="14"/>
    </row>
    <row r="301" spans="1:10" x14ac:dyDescent="0.25">
      <c r="A301" s="7">
        <v>43768</v>
      </c>
      <c r="B301" s="8" t="str">
        <f>HYPERLINK("Y:\Brents\Brent Charlie\Brent Charlie Oil Export\6. General Information\Oil Export Totaliser Error\MR 2019\30.10.2019.xlsx","30.10.2019.xlsx")</f>
        <v>30.10.2019.xlsx</v>
      </c>
      <c r="C301" s="14">
        <v>649103.21</v>
      </c>
      <c r="D301" s="14">
        <v>0</v>
      </c>
      <c r="E301" s="14">
        <v>634508.4</v>
      </c>
      <c r="F301" s="14">
        <v>0</v>
      </c>
      <c r="G301" s="14">
        <v>515852.69</v>
      </c>
      <c r="H301" s="14">
        <v>0</v>
      </c>
      <c r="I301" s="14"/>
      <c r="J301" s="14"/>
    </row>
    <row r="302" spans="1:10" x14ac:dyDescent="0.25">
      <c r="A302" s="7">
        <v>43769</v>
      </c>
      <c r="B302" s="8" t="str">
        <f>HYPERLINK("Y:\Brents\Brent Charlie\Brent Charlie Oil Export\6. General Information\Oil Export Totaliser Error\MR 2019\31.10.2019.xlsx","31.10.2019.xlsx")</f>
        <v>31.10.2019.xlsx</v>
      </c>
      <c r="C302" s="14">
        <v>649103.21</v>
      </c>
      <c r="D302" s="14">
        <v>0</v>
      </c>
      <c r="E302" s="14">
        <v>634508.4</v>
      </c>
      <c r="F302" s="14">
        <v>0</v>
      </c>
      <c r="G302" s="14">
        <v>515852.69</v>
      </c>
      <c r="H302" s="14">
        <v>0</v>
      </c>
      <c r="I302" s="14"/>
      <c r="J302" s="14"/>
    </row>
    <row r="303" spans="1:10" x14ac:dyDescent="0.25">
      <c r="A303" s="7">
        <v>43770</v>
      </c>
      <c r="B303" s="8" t="str">
        <f>HYPERLINK("Y:\Brents\Brent Charlie\Brent Charlie Oil Export\6. General Information\Oil Export Totaliser Error\MR 2019\01.11.2019.xlsx","01.11.2019.xlsx")</f>
        <v>01.11.2019.xlsx</v>
      </c>
      <c r="C303" s="14">
        <v>649103.21</v>
      </c>
      <c r="D303" s="14">
        <v>0</v>
      </c>
      <c r="E303" s="14">
        <v>634508.4</v>
      </c>
      <c r="F303" s="14">
        <v>0</v>
      </c>
      <c r="G303" s="14">
        <v>515852.69</v>
      </c>
      <c r="H303" s="14">
        <v>0</v>
      </c>
      <c r="I303" s="14"/>
      <c r="J303" s="14"/>
    </row>
    <row r="304" spans="1:10" x14ac:dyDescent="0.25">
      <c r="A304" s="7">
        <v>43771</v>
      </c>
      <c r="B304" s="8" t="str">
        <f>HYPERLINK("Y:\Brents\Brent Charlie\Brent Charlie Oil Export\6. General Information\Oil Export Totaliser Error\MR 2019\02.11.2019.xlsx","02.11.2019.xlsx")</f>
        <v>02.11.2019.xlsx</v>
      </c>
      <c r="C304" s="14">
        <v>656892.81000000006</v>
      </c>
      <c r="D304" s="14">
        <v>7789.59</v>
      </c>
      <c r="E304" s="14">
        <v>642151.98</v>
      </c>
      <c r="F304" s="14">
        <v>7643.5860000000002</v>
      </c>
      <c r="G304" s="14">
        <v>522043.4</v>
      </c>
      <c r="H304" s="14">
        <v>6190.7079999999996</v>
      </c>
      <c r="I304" s="14"/>
      <c r="J304" s="14"/>
    </row>
    <row r="305" spans="1:10" x14ac:dyDescent="0.25">
      <c r="A305" s="7">
        <v>43772</v>
      </c>
      <c r="B305" s="8" t="str">
        <f>HYPERLINK("Y:\Brents\Brent Charlie\Brent Charlie Oil Export\6. General Information\Oil Export Totaliser Error\MR 2019\03.11.2019.xlsx","03.11.2019.xlsx")</f>
        <v>03.11.2019.xlsx</v>
      </c>
      <c r="C305" s="14">
        <v>660694.26</v>
      </c>
      <c r="D305" s="14">
        <v>3801.46</v>
      </c>
      <c r="E305" s="14">
        <v>645874.21</v>
      </c>
      <c r="F305" s="14">
        <v>3722.23</v>
      </c>
      <c r="G305" s="14">
        <v>525052.93999999994</v>
      </c>
      <c r="H305" s="14">
        <v>3009.54</v>
      </c>
      <c r="I305" s="14"/>
      <c r="J305" s="14"/>
    </row>
    <row r="306" spans="1:10" x14ac:dyDescent="0.25">
      <c r="A306" s="7">
        <v>43773</v>
      </c>
      <c r="B306" s="8" t="str">
        <f>HYPERLINK("Y:\Brents\Brent Charlie\Brent Charlie Oil Export\6. General Information\Oil Export Totaliser Error\MR 2019\04.11.2019.xlsx","04.11.2019.xlsx")</f>
        <v>04.11.2019.xlsx</v>
      </c>
      <c r="C306" s="14">
        <v>668467.89</v>
      </c>
      <c r="D306" s="14">
        <v>7773.62</v>
      </c>
      <c r="E306" s="14">
        <v>653490.68000000005</v>
      </c>
      <c r="F306" s="14">
        <v>7616.46</v>
      </c>
      <c r="G306" s="14">
        <v>531209.12</v>
      </c>
      <c r="H306" s="14">
        <v>6156.16</v>
      </c>
      <c r="I306" s="14"/>
      <c r="J306" s="14"/>
    </row>
    <row r="307" spans="1:10" x14ac:dyDescent="0.25">
      <c r="A307" s="7">
        <v>43774</v>
      </c>
      <c r="B307" s="8" t="str">
        <f>HYPERLINK("Y:\Brents\Brent Charlie\Brent Charlie Oil Export\6. General Information\Oil Export Totaliser Error\MR 2019\05.11.2019.xlsx","05.11.2019.xlsx")</f>
        <v>05.11.2019.xlsx</v>
      </c>
      <c r="C307" s="14">
        <v>668467.89</v>
      </c>
      <c r="D307" s="14">
        <v>0</v>
      </c>
      <c r="E307" s="14">
        <v>653490.68000000005</v>
      </c>
      <c r="F307" s="14">
        <v>0</v>
      </c>
      <c r="G307" s="14">
        <v>531209.12</v>
      </c>
      <c r="H307" s="14">
        <v>0</v>
      </c>
      <c r="I307" s="14"/>
      <c r="J307" s="14"/>
    </row>
    <row r="308" spans="1:10" x14ac:dyDescent="0.25">
      <c r="A308" s="7">
        <v>43775</v>
      </c>
      <c r="B308" s="8" t="str">
        <f>HYPERLINK("Y:\Brents\Brent Charlie\Brent Charlie Oil Export\6. General Information\Oil Export Totaliser Error\MR 2019\06.11.2019.xlsx","06.11.2019.xlsx")</f>
        <v>06.11.2019.xlsx</v>
      </c>
      <c r="C308" s="14">
        <v>668467.89</v>
      </c>
      <c r="D308" s="14">
        <v>0</v>
      </c>
      <c r="E308" s="14">
        <v>653490.68000000005</v>
      </c>
      <c r="F308" s="14">
        <v>0</v>
      </c>
      <c r="G308" s="14">
        <v>531209.12</v>
      </c>
      <c r="H308" s="14">
        <v>0</v>
      </c>
      <c r="I308" s="14"/>
      <c r="J308" s="14"/>
    </row>
    <row r="309" spans="1:10" x14ac:dyDescent="0.25">
      <c r="A309" s="7">
        <v>43776</v>
      </c>
      <c r="B309" s="8" t="str">
        <f>HYPERLINK("Y:\Brents\Brent Charlie\Brent Charlie Oil Export\6. General Information\Oil Export Totaliser Error\MR 2019\07.11.2019.xlsx","07.11.2019.xlsx")</f>
        <v>07.11.2019.xlsx</v>
      </c>
      <c r="C309" s="14">
        <v>668467.89</v>
      </c>
      <c r="D309" s="14">
        <v>0</v>
      </c>
      <c r="E309" s="14">
        <v>653490.68000000005</v>
      </c>
      <c r="F309" s="14">
        <v>0</v>
      </c>
      <c r="G309" s="14">
        <v>531209.12</v>
      </c>
      <c r="H309" s="14">
        <v>0</v>
      </c>
      <c r="I309" s="14"/>
      <c r="J309" s="14"/>
    </row>
    <row r="310" spans="1:10" x14ac:dyDescent="0.25">
      <c r="A310" s="7">
        <v>43777</v>
      </c>
      <c r="B310" s="8" t="str">
        <f>HYPERLINK("Y:\Brents\Brent Charlie\Brent Charlie Oil Export\6. General Information\Oil Export Totaliser Error\MR 2019\08.11.2019.xlsx","08.11.2019.xlsx")</f>
        <v>08.11.2019.xlsx</v>
      </c>
      <c r="C310" s="14">
        <v>668467.89</v>
      </c>
      <c r="D310" s="14">
        <v>0</v>
      </c>
      <c r="E310" s="14">
        <v>653490.68000000005</v>
      </c>
      <c r="F310" s="14">
        <v>0</v>
      </c>
      <c r="G310" s="14">
        <v>531209.12</v>
      </c>
      <c r="H310" s="14">
        <v>0</v>
      </c>
      <c r="I310" s="14"/>
      <c r="J310" s="14"/>
    </row>
    <row r="311" spans="1:10" x14ac:dyDescent="0.25">
      <c r="A311" s="7">
        <v>43778</v>
      </c>
      <c r="B311" s="8" t="str">
        <f>HYPERLINK("Y:\Brents\Brent Charlie\Brent Charlie Oil Export\6. General Information\Oil Export Totaliser Error\MR 2019\09.11.2019.xlsx","09.11.2019.xlsx")</f>
        <v>09.11.2019.xlsx</v>
      </c>
      <c r="C311" s="14">
        <v>668467.89</v>
      </c>
      <c r="D311" s="14">
        <v>0</v>
      </c>
      <c r="E311" s="14">
        <v>653490.68000000005</v>
      </c>
      <c r="F311" s="14">
        <v>0</v>
      </c>
      <c r="G311" s="14">
        <v>531209.12</v>
      </c>
      <c r="H311" s="14">
        <v>0</v>
      </c>
      <c r="I311" s="14"/>
      <c r="J311" s="14"/>
    </row>
    <row r="312" spans="1:10" x14ac:dyDescent="0.25">
      <c r="A312" s="7">
        <v>43779</v>
      </c>
      <c r="B312" s="8" t="str">
        <f>HYPERLINK("Y:\Brents\Brent Charlie\Brent Charlie Oil Export\6. General Information\Oil Export Totaliser Error\MR 2019\10.11.2019.xlsx","10.11.2019.xlsx")</f>
        <v>10.11.2019.xlsx</v>
      </c>
      <c r="C312" s="14">
        <v>668467.89</v>
      </c>
      <c r="D312" s="14">
        <v>0</v>
      </c>
      <c r="E312" s="14">
        <v>653490.68000000005</v>
      </c>
      <c r="F312" s="14">
        <v>0</v>
      </c>
      <c r="G312" s="14">
        <v>531209.12</v>
      </c>
      <c r="H312" s="14">
        <v>0</v>
      </c>
      <c r="I312" s="14"/>
      <c r="J312" s="14"/>
    </row>
    <row r="313" spans="1:10" x14ac:dyDescent="0.25">
      <c r="A313" s="7">
        <v>43780</v>
      </c>
      <c r="B313" s="8" t="str">
        <f>HYPERLINK("Y:\Brents\Brent Charlie\Brent Charlie Oil Export\6. General Information\Oil Export Totaliser Error\MR 2019\11.11.2019.xlsx","11.11.2019.xlsx")</f>
        <v>11.11.2019.xlsx</v>
      </c>
      <c r="C313" s="14">
        <v>677122.07</v>
      </c>
      <c r="D313" s="14">
        <v>8654.1859999999997</v>
      </c>
      <c r="E313" s="14">
        <v>661953.64</v>
      </c>
      <c r="F313" s="14">
        <v>8462.9599999999991</v>
      </c>
      <c r="G313" s="14">
        <v>538055.66</v>
      </c>
      <c r="H313" s="14">
        <v>6846.5360000000001</v>
      </c>
      <c r="I313" s="14"/>
      <c r="J313" s="14"/>
    </row>
    <row r="314" spans="1:10" x14ac:dyDescent="0.25">
      <c r="A314" s="7">
        <v>43781</v>
      </c>
      <c r="B314" s="8" t="str">
        <f>HYPERLINK("Y:\Brents\Brent Charlie\Brent Charlie Oil Export\6. General Information\Oil Export Totaliser Error\MR 2019\12.11.2019.xlsx","12.11.2019.xlsx")</f>
        <v>12.11.2019.xlsx</v>
      </c>
      <c r="C314" s="14">
        <v>683088.92</v>
      </c>
      <c r="D314" s="14">
        <v>5966.85</v>
      </c>
      <c r="E314" s="14">
        <v>667787.77</v>
      </c>
      <c r="F314" s="14">
        <v>5834.14</v>
      </c>
      <c r="G314" s="14">
        <v>542776.44999999995</v>
      </c>
      <c r="H314" s="14">
        <v>4720.79</v>
      </c>
      <c r="I314" s="14"/>
      <c r="J314" s="14"/>
    </row>
    <row r="315" spans="1:10" x14ac:dyDescent="0.25">
      <c r="A315" s="7">
        <v>43782</v>
      </c>
      <c r="B315" s="8" t="str">
        <f>HYPERLINK("Y:\Brents\Brent Charlie\Brent Charlie Oil Export\6. General Information\Oil Export Totaliser Error\MR 2019\13.11.2019.xlsx","13.11.2019.xlsx")</f>
        <v>13.11.2019.xlsx</v>
      </c>
      <c r="C315" s="14">
        <v>683088.92</v>
      </c>
      <c r="D315" s="14">
        <v>0</v>
      </c>
      <c r="E315" s="14">
        <v>667787.77</v>
      </c>
      <c r="F315" s="14">
        <v>0</v>
      </c>
      <c r="G315" s="14">
        <v>542776.44999999995</v>
      </c>
      <c r="H315" s="14">
        <v>0</v>
      </c>
      <c r="I315" s="14"/>
      <c r="J315" s="14"/>
    </row>
    <row r="316" spans="1:10" x14ac:dyDescent="0.25">
      <c r="A316" s="7">
        <v>43783</v>
      </c>
      <c r="B316" s="8" t="str">
        <f>HYPERLINK("Y:\Brents\Brent Charlie\Brent Charlie Oil Export\6. General Information\Oil Export Totaliser Error\MR 2019\14.11.2019.xlsx","14.11.2019.xlsx")</f>
        <v>14.11.2019.xlsx</v>
      </c>
      <c r="C316" s="14">
        <v>683088.92</v>
      </c>
      <c r="D316" s="14">
        <v>0</v>
      </c>
      <c r="E316" s="14">
        <v>667787.77</v>
      </c>
      <c r="F316" s="14">
        <v>0</v>
      </c>
      <c r="G316" s="14">
        <v>542776.44999999995</v>
      </c>
      <c r="H316" s="14">
        <v>0</v>
      </c>
      <c r="I316" s="14"/>
      <c r="J316" s="14"/>
    </row>
    <row r="317" spans="1:10" x14ac:dyDescent="0.25">
      <c r="A317" s="7">
        <v>43784</v>
      </c>
      <c r="B317" s="8" t="str">
        <f>HYPERLINK("Y:\Brents\Brent Charlie\Brent Charlie Oil Export\6. General Information\Oil Export Totaliser Error\MR 2019\15.11.2019.xlsx","15.11.2019.xlsx")</f>
        <v>15.11.2019.xlsx</v>
      </c>
      <c r="C317" s="14">
        <v>683088.92</v>
      </c>
      <c r="D317" s="14">
        <v>0</v>
      </c>
      <c r="E317" s="14">
        <v>667787.77</v>
      </c>
      <c r="F317" s="14">
        <v>0</v>
      </c>
      <c r="G317" s="14">
        <v>542776.44999999995</v>
      </c>
      <c r="H317" s="14">
        <v>0</v>
      </c>
      <c r="I317" s="14"/>
      <c r="J317" s="14"/>
    </row>
    <row r="318" spans="1:10" x14ac:dyDescent="0.25">
      <c r="A318" s="7">
        <v>43785</v>
      </c>
      <c r="B318" s="8" t="str">
        <f>HYPERLINK("Y:\Brents\Brent Charlie\Brent Charlie Oil Export\6. General Information\Oil Export Totaliser Error\MR 2019\16.11.2019.xlsx","16.11.2019.xlsx")</f>
        <v>16.11.2019.xlsx</v>
      </c>
      <c r="C318" s="14">
        <v>683088.92</v>
      </c>
      <c r="D318" s="14">
        <v>0</v>
      </c>
      <c r="E318" s="14">
        <v>667787.77</v>
      </c>
      <c r="F318" s="14">
        <v>0</v>
      </c>
      <c r="G318" s="14">
        <v>542776.44999999995</v>
      </c>
      <c r="H318" s="14">
        <v>0</v>
      </c>
      <c r="I318" s="14"/>
      <c r="J318" s="14"/>
    </row>
    <row r="319" spans="1:10" x14ac:dyDescent="0.25">
      <c r="A319" s="7">
        <v>43786</v>
      </c>
      <c r="B319" s="8" t="str">
        <f>HYPERLINK("Y:\Brents\Brent Charlie\Brent Charlie Oil Export\6. General Information\Oil Export Totaliser Error\MR 2019\17.11.2019.xlsx","17.11.2019.xlsx")</f>
        <v>17.11.2019.xlsx</v>
      </c>
      <c r="C319" s="14">
        <v>683088.92</v>
      </c>
      <c r="D319" s="14">
        <v>0</v>
      </c>
      <c r="E319" s="14">
        <v>667787.77</v>
      </c>
      <c r="F319" s="14">
        <v>0</v>
      </c>
      <c r="G319" s="14">
        <v>542776.44999999995</v>
      </c>
      <c r="H319" s="14">
        <v>0</v>
      </c>
      <c r="I319" s="14"/>
      <c r="J319" s="14"/>
    </row>
    <row r="320" spans="1:10" x14ac:dyDescent="0.25">
      <c r="A320" s="7">
        <v>43787</v>
      </c>
      <c r="B320" s="8" t="str">
        <f>HYPERLINK("Y:\Brents\Brent Charlie\Brent Charlie Oil Export\6. General Information\Oil Export Totaliser Error\MR 2019\18.11.2019.xlsx","18.11.2019.xlsx")</f>
        <v>18.11.2019.xlsx</v>
      </c>
      <c r="C320" s="14">
        <v>691405.90799800004</v>
      </c>
      <c r="D320" s="14">
        <v>8316.9830000000002</v>
      </c>
      <c r="E320" s="14">
        <v>675926.51254300005</v>
      </c>
      <c r="F320" s="14">
        <v>8138.7380000000003</v>
      </c>
      <c r="G320" s="14">
        <v>549357.69260399998</v>
      </c>
      <c r="H320" s="14">
        <v>6581.24</v>
      </c>
      <c r="I320" s="14"/>
      <c r="J320" s="14"/>
    </row>
    <row r="321" spans="1:10" x14ac:dyDescent="0.25">
      <c r="A321" s="7">
        <v>43788</v>
      </c>
      <c r="B321" s="8" t="str">
        <f>HYPERLINK("Y:\Brents\Brent Charlie\Brent Charlie Oil Export\6. General Information\Oil Export Totaliser Error\MR 2019\19.11.2019.xlsx","19.11.2019.xlsx")</f>
        <v>19.11.2019.xlsx</v>
      </c>
      <c r="C321" s="14">
        <v>693969.06024100003</v>
      </c>
      <c r="D321" s="14">
        <v>2563.152</v>
      </c>
      <c r="E321" s="14">
        <v>678433.01951699995</v>
      </c>
      <c r="F321" s="14">
        <v>2506.5070000000001</v>
      </c>
      <c r="G321" s="14">
        <v>551389.84186199994</v>
      </c>
      <c r="H321" s="14">
        <v>2032.1489999999999</v>
      </c>
      <c r="I321" s="14"/>
      <c r="J321" s="14"/>
    </row>
    <row r="322" spans="1:10" x14ac:dyDescent="0.25">
      <c r="A322" s="7">
        <v>43789</v>
      </c>
      <c r="B322" s="8" t="str">
        <f>HYPERLINK("Y:\Brents\Brent Charlie\Brent Charlie Oil Export\6. General Information\Oil Export Totaliser Error\MR 2019\20.11.2019.xlsx","20.11.2019.xlsx")</f>
        <v>20.11.2019.xlsx</v>
      </c>
      <c r="C322" s="14">
        <v>693969.06024100003</v>
      </c>
      <c r="D322" s="14"/>
      <c r="E322" s="14">
        <v>678433.01951699995</v>
      </c>
      <c r="F322" s="14"/>
      <c r="G322" s="14">
        <v>551389.84186199994</v>
      </c>
      <c r="H322" s="14"/>
      <c r="I322" s="14"/>
      <c r="J322" s="14"/>
    </row>
    <row r="323" spans="1:10" x14ac:dyDescent="0.25">
      <c r="A323" s="7">
        <v>43790</v>
      </c>
      <c r="B323" s="8" t="str">
        <f>HYPERLINK("Y:\Brents\Brent Charlie\Brent Charlie Oil Export\6. General Information\Oil Export Totaliser Error\MR 2019\21.11.2019.xlsx","21.11.2019.xlsx")</f>
        <v>21.11.2019.xlsx</v>
      </c>
      <c r="C323" s="14">
        <v>693969.06024100003</v>
      </c>
      <c r="D323" s="14"/>
      <c r="E323" s="14">
        <v>678433.01951699995</v>
      </c>
      <c r="F323" s="14"/>
      <c r="G323" s="14">
        <v>551389.84186199994</v>
      </c>
      <c r="H323" s="14"/>
      <c r="I323" s="14"/>
      <c r="J323" s="14"/>
    </row>
    <row r="324" spans="1:10" x14ac:dyDescent="0.25">
      <c r="A324" s="7">
        <v>43791</v>
      </c>
      <c r="B324" s="8" t="str">
        <f>HYPERLINK("Y:\Brents\Brent Charlie\Brent Charlie Oil Export\6. General Information\Oil Export Totaliser Error\MR 2019\22.11.2019.xlsx","22.11.2019.xlsx")</f>
        <v>22.11.2019.xlsx</v>
      </c>
      <c r="C324" s="14">
        <v>693969.06024100003</v>
      </c>
      <c r="D324" s="14"/>
      <c r="E324" s="14">
        <v>678433.01951699995</v>
      </c>
      <c r="F324" s="14"/>
      <c r="G324" s="14">
        <v>551389.84186199994</v>
      </c>
      <c r="H324" s="14"/>
      <c r="I324" s="14"/>
      <c r="J324" s="14"/>
    </row>
    <row r="325" spans="1:10" x14ac:dyDescent="0.25">
      <c r="A325" s="7">
        <v>43792</v>
      </c>
      <c r="B325" s="8" t="str">
        <f>HYPERLINK("Y:\Brents\Brent Charlie\Brent Charlie Oil Export\6. General Information\Oil Export Totaliser Error\MR 2019\23.11.2019.xlsx","23.11.2019.xlsx")</f>
        <v>23.11.2019.xlsx</v>
      </c>
      <c r="C325" s="14">
        <v>693969.06024100003</v>
      </c>
      <c r="D325" s="14"/>
      <c r="E325" s="14">
        <v>678433.01951699995</v>
      </c>
      <c r="F325" s="14"/>
      <c r="G325" s="14">
        <v>551389.84186199994</v>
      </c>
      <c r="H325" s="14"/>
      <c r="I325" s="14"/>
      <c r="J325" s="14"/>
    </row>
    <row r="326" spans="1:10" x14ac:dyDescent="0.25">
      <c r="A326" s="7">
        <v>43793</v>
      </c>
      <c r="B326" s="8" t="str">
        <f>HYPERLINK("Y:\Brents\Brent Charlie\Brent Charlie Oil Export\6. General Information\Oil Export Totaliser Error\MR 2019\24.11.2019.xlsx","24.11.2019.xlsx")</f>
        <v>24.11.2019.xlsx</v>
      </c>
      <c r="C326" s="14">
        <v>693969.06024100003</v>
      </c>
      <c r="D326" s="14"/>
      <c r="E326" s="14">
        <v>678433.01951699995</v>
      </c>
      <c r="F326" s="14"/>
      <c r="G326" s="14">
        <v>551389.84186199994</v>
      </c>
      <c r="H326" s="14"/>
      <c r="I326" s="14"/>
      <c r="J326" s="14"/>
    </row>
    <row r="327" spans="1:10" x14ac:dyDescent="0.25">
      <c r="A327" s="7">
        <v>43794</v>
      </c>
      <c r="B327" s="8" t="str">
        <f>HYPERLINK("Y:\Brents\Brent Charlie\Brent Charlie Oil Export\6. General Information\Oil Export Totaliser Error\MR 2019\25.11.2019.xlsx","25.11.2019.xlsx")</f>
        <v>25.11.2019.xlsx</v>
      </c>
      <c r="C327" s="14">
        <v>693969.06024100003</v>
      </c>
      <c r="D327" s="14"/>
      <c r="E327" s="14">
        <v>678433.01951699995</v>
      </c>
      <c r="F327" s="14"/>
      <c r="G327" s="14">
        <v>551389.84186199994</v>
      </c>
      <c r="H327" s="14"/>
      <c r="I327" s="14"/>
      <c r="J327" s="14"/>
    </row>
    <row r="328" spans="1:10" x14ac:dyDescent="0.25">
      <c r="A328" s="7">
        <v>43795</v>
      </c>
      <c r="B328" s="8" t="str">
        <f>HYPERLINK("Y:\Brents\Brent Charlie\Brent Charlie Oil Export\6. General Information\Oil Export Totaliser Error\MR 2019\26.11.2019.xlsx","26.11.2019.xlsx")</f>
        <v>26.11.2019.xlsx</v>
      </c>
      <c r="C328" s="14">
        <v>693969.06024100003</v>
      </c>
      <c r="D328" s="14"/>
      <c r="E328" s="14">
        <v>678433.01951699995</v>
      </c>
      <c r="F328" s="14"/>
      <c r="G328" s="14">
        <v>551389.84186199994</v>
      </c>
      <c r="H328" s="14"/>
      <c r="I328" s="14"/>
      <c r="J328" s="14"/>
    </row>
    <row r="329" spans="1:10" x14ac:dyDescent="0.25">
      <c r="A329" s="7">
        <v>43796</v>
      </c>
      <c r="B329" s="8" t="str">
        <f>HYPERLINK("Y:\Brents\Brent Charlie\Brent Charlie Oil Export\6. General Information\Oil Export Totaliser Error\MR 2019\27.11.2019.xlsx","27.11.2019.xlsx")</f>
        <v>27.11.2019.xlsx</v>
      </c>
      <c r="C329" s="14">
        <v>693969.06024100003</v>
      </c>
      <c r="D329" s="14"/>
      <c r="E329" s="14">
        <v>678433.01951699995</v>
      </c>
      <c r="F329" s="14"/>
      <c r="G329" s="14">
        <v>551389.84186199994</v>
      </c>
      <c r="H329" s="14"/>
      <c r="I329" s="14"/>
      <c r="J329" s="14"/>
    </row>
    <row r="330" spans="1:10" x14ac:dyDescent="0.25">
      <c r="A330" s="7">
        <v>43797</v>
      </c>
      <c r="B330" s="8" t="str">
        <f>HYPERLINK("Y:\Brents\Brent Charlie\Brent Charlie Oil Export\6. General Information\Oil Export Totaliser Error\MR 2019\28.11.2019.xlsx","28.11.2019.xlsx")</f>
        <v>28.11.2019.xlsx</v>
      </c>
      <c r="C330" s="14">
        <v>693969.06024100003</v>
      </c>
      <c r="D330" s="14"/>
      <c r="E330" s="14">
        <v>678433.01951699995</v>
      </c>
      <c r="F330" s="14"/>
      <c r="G330" s="14">
        <v>551389.84186199994</v>
      </c>
      <c r="H330" s="14"/>
      <c r="I330" s="14"/>
      <c r="J330" s="14"/>
    </row>
    <row r="331" spans="1:10" x14ac:dyDescent="0.25">
      <c r="A331" s="7">
        <v>43798</v>
      </c>
      <c r="B331" s="8" t="str">
        <f>HYPERLINK("Y:\Brents\Brent Charlie\Brent Charlie Oil Export\6. General Information\Oil Export Totaliser Error\MR 2019\29.11.2019.xlsx","29.11.2019.xlsx")</f>
        <v>29.11.2019.xlsx</v>
      </c>
      <c r="C331" s="14">
        <v>693969.06024100003</v>
      </c>
      <c r="D331" s="14"/>
      <c r="E331" s="14">
        <v>678433.01951699995</v>
      </c>
      <c r="F331" s="14"/>
      <c r="G331" s="14">
        <v>551389.84186199994</v>
      </c>
      <c r="H331" s="14"/>
      <c r="I331" s="14"/>
      <c r="J331" s="14"/>
    </row>
    <row r="332" spans="1:10" x14ac:dyDescent="0.25">
      <c r="A332" s="7">
        <v>43799</v>
      </c>
      <c r="B332" s="8" t="str">
        <f>HYPERLINK("Y:\Brents\Brent Charlie\Brent Charlie Oil Export\6. General Information\Oil Export Totaliser Error\MR 2019\30.11.2019.xlsx","30.11.2019.xlsx")</f>
        <v>30.11.2019.xlsx</v>
      </c>
      <c r="C332" s="14">
        <v>701810.75</v>
      </c>
      <c r="D332" s="14">
        <v>7841.69</v>
      </c>
      <c r="E332" s="14">
        <v>686107.48</v>
      </c>
      <c r="F332" s="14">
        <v>7674.46</v>
      </c>
      <c r="G332" s="14">
        <v>557597.62</v>
      </c>
      <c r="H332" s="14">
        <v>6207.78</v>
      </c>
      <c r="I332" s="14"/>
      <c r="J332" s="14"/>
    </row>
    <row r="333" spans="1:10" x14ac:dyDescent="0.25">
      <c r="A333" s="7">
        <v>43800</v>
      </c>
      <c r="B333" s="8" t="str">
        <f>HYPERLINK("Y:\Brents\Brent Charlie\Brent Charlie Oil Export\6. General Information\Oil Export Totaliser Error\MR 2019\01.12.2019.xlsx","01.12.2019.xlsx")</f>
        <v>01.12.2019.xlsx</v>
      </c>
      <c r="C333" s="14">
        <v>701810.75</v>
      </c>
      <c r="D333" s="14">
        <v>0</v>
      </c>
      <c r="E333" s="14">
        <v>686107.48</v>
      </c>
      <c r="F333" s="14">
        <v>0</v>
      </c>
      <c r="G333" s="14">
        <v>557597.62</v>
      </c>
      <c r="H333" s="14">
        <v>0</v>
      </c>
      <c r="I333" s="14"/>
      <c r="J333" s="14"/>
    </row>
    <row r="334" spans="1:10" x14ac:dyDescent="0.25">
      <c r="A334" s="7">
        <v>43801</v>
      </c>
      <c r="B334" s="8" t="str">
        <f>HYPERLINK("Y:\Brents\Brent Charlie\Brent Charlie Oil Export\6. General Information\Oil Export Totaliser Error\MR 2019\02.12.2019.xlsx","02.12.2019.xlsx")</f>
        <v>02.12.2019.xlsx</v>
      </c>
      <c r="C334" s="14">
        <v>701810.75</v>
      </c>
      <c r="D334" s="14">
        <v>0</v>
      </c>
      <c r="E334" s="14">
        <v>686107.48</v>
      </c>
      <c r="F334" s="14">
        <v>0</v>
      </c>
      <c r="G334" s="14">
        <v>557597.62</v>
      </c>
      <c r="H334" s="14">
        <v>0</v>
      </c>
      <c r="I334" s="14"/>
      <c r="J334" s="14"/>
    </row>
    <row r="335" spans="1:10" x14ac:dyDescent="0.25">
      <c r="A335" s="7">
        <v>43802</v>
      </c>
      <c r="B335" s="8" t="str">
        <f>HYPERLINK("Y:\Brents\Brent Charlie\Brent Charlie Oil Export\6. General Information\Oil Export Totaliser Error\MR 2019\03.12.2019.xlsx","03.12.2019.xlsx")</f>
        <v>03.12.2019.xlsx</v>
      </c>
      <c r="C335" s="14">
        <v>701810.75</v>
      </c>
      <c r="D335" s="14">
        <v>0</v>
      </c>
      <c r="E335" s="14">
        <v>686107.48</v>
      </c>
      <c r="F335" s="14">
        <v>0</v>
      </c>
      <c r="G335" s="14">
        <v>557597.62</v>
      </c>
      <c r="H335" s="14">
        <v>0</v>
      </c>
      <c r="I335" s="14"/>
      <c r="J335" s="14"/>
    </row>
    <row r="336" spans="1:10" x14ac:dyDescent="0.25">
      <c r="A336" s="7">
        <v>43803</v>
      </c>
      <c r="B336" s="8" t="str">
        <f>HYPERLINK("Y:\Brents\Brent Charlie\Brent Charlie Oil Export\6. General Information\Oil Export Totaliser Error\MR 2019\04.12.2019.xlsx","04.12.2019.xlsx")</f>
        <v>04.12.2019.xlsx</v>
      </c>
      <c r="C336" s="14">
        <v>702545</v>
      </c>
      <c r="D336" s="14">
        <v>735.08</v>
      </c>
      <c r="E336" s="14">
        <v>686827.96</v>
      </c>
      <c r="F336" s="14">
        <v>720.48</v>
      </c>
      <c r="G336" s="14">
        <v>558177.16</v>
      </c>
      <c r="H336" s="14">
        <v>579.54999999999995</v>
      </c>
      <c r="I336" s="14"/>
      <c r="J336" s="14"/>
    </row>
    <row r="337" spans="1:10" x14ac:dyDescent="0.25">
      <c r="A337" s="7">
        <v>43804</v>
      </c>
      <c r="B337" s="8" t="str">
        <f>HYPERLINK("Y:\Brents\Brent Charlie\Brent Charlie Oil Export\6. General Information\Oil Export Totaliser Error\MR 2019\05.12.2019.xlsx","05.12.2019.xlsx")</f>
        <v>05.12.2019.xlsx</v>
      </c>
      <c r="C337" s="14">
        <v>702545</v>
      </c>
      <c r="D337" s="14"/>
      <c r="E337" s="14">
        <v>686827.96</v>
      </c>
      <c r="F337" s="14">
        <v>0</v>
      </c>
      <c r="G337" s="14">
        <v>558177.16</v>
      </c>
      <c r="H337" s="14">
        <v>0</v>
      </c>
      <c r="I337" s="14"/>
      <c r="J337" s="14"/>
    </row>
    <row r="338" spans="1:10" x14ac:dyDescent="0.25">
      <c r="A338" s="7">
        <v>43805</v>
      </c>
      <c r="B338" s="8" t="str">
        <f>HYPERLINK("Y:\Brents\Brent Charlie\Brent Charlie Oil Export\6. General Information\Oil Export Totaliser Error\MR 2019\06.12.2019.xlsx","06.12.2019.xlsx")</f>
        <v>06.12.2019.xlsx</v>
      </c>
      <c r="C338" s="14">
        <v>702545</v>
      </c>
      <c r="D338" s="14"/>
      <c r="E338" s="14">
        <v>686827.96</v>
      </c>
      <c r="F338" s="14">
        <v>0</v>
      </c>
      <c r="G338" s="14">
        <v>558177.16</v>
      </c>
      <c r="H338" s="14">
        <v>0</v>
      </c>
      <c r="I338" s="14"/>
      <c r="J338" s="14"/>
    </row>
    <row r="339" spans="1:10" x14ac:dyDescent="0.25">
      <c r="A339" s="7">
        <v>43806</v>
      </c>
      <c r="B339" s="8" t="str">
        <f>HYPERLINK("Y:\Brents\Brent Charlie\Brent Charlie Oil Export\6. General Information\Oil Export Totaliser Error\MR 2019\07.12.2019.xlsx","07.12.2019.xlsx")</f>
        <v>07.12.2019.xlsx</v>
      </c>
      <c r="C339" s="14">
        <v>702545</v>
      </c>
      <c r="D339" s="14"/>
      <c r="E339" s="14">
        <v>686827.96</v>
      </c>
      <c r="F339" s="14">
        <v>0</v>
      </c>
      <c r="G339" s="14">
        <v>558177.16</v>
      </c>
      <c r="H339" s="14">
        <v>0</v>
      </c>
      <c r="I339" s="14"/>
      <c r="J339" s="14"/>
    </row>
    <row r="340" spans="1:10" x14ac:dyDescent="0.25">
      <c r="A340" s="7">
        <v>43807</v>
      </c>
      <c r="B340" s="8" t="str">
        <f>HYPERLINK("Y:\Brents\Brent Charlie\Brent Charlie Oil Export\6. General Information\Oil Export Totaliser Error\MR 2019\08.12.2019.xlsx","08.12.2019.xlsx")</f>
        <v>08.12.2019.xlsx</v>
      </c>
      <c r="C340" s="14">
        <v>702545</v>
      </c>
      <c r="D340" s="14"/>
      <c r="E340" s="14">
        <v>686827.96</v>
      </c>
      <c r="F340" s="14">
        <v>0</v>
      </c>
      <c r="G340" s="14">
        <v>558177.16</v>
      </c>
      <c r="H340" s="14">
        <v>0</v>
      </c>
      <c r="I340" s="14"/>
      <c r="J340" s="14"/>
    </row>
    <row r="341" spans="1:10" x14ac:dyDescent="0.25">
      <c r="A341" s="7">
        <v>43808</v>
      </c>
      <c r="B341" s="8" t="str">
        <f>HYPERLINK("Y:\Brents\Brent Charlie\Brent Charlie Oil Export\6. General Information\Oil Export Totaliser Error\MR 2019\09.12.2019.xlsx","09.12.2019.xlsx")</f>
        <v>09.12.2019.xlsx</v>
      </c>
      <c r="C341" s="14">
        <v>702545</v>
      </c>
      <c r="D341" s="14"/>
      <c r="E341" s="14">
        <v>686827.96</v>
      </c>
      <c r="F341" s="14">
        <v>0</v>
      </c>
      <c r="G341" s="14">
        <v>558177.16</v>
      </c>
      <c r="H341" s="14">
        <v>0</v>
      </c>
      <c r="I341" s="14"/>
      <c r="J341" s="14"/>
    </row>
    <row r="342" spans="1:10" x14ac:dyDescent="0.25">
      <c r="A342" s="7">
        <v>43809</v>
      </c>
      <c r="B342" s="8" t="str">
        <f>HYPERLINK("Y:\Brents\Brent Charlie\Brent Charlie Oil Export\6. General Information\Oil Export Totaliser Error\MR 2019\10.12.2019.xlsx","10.12.2019.xlsx")</f>
        <v>10.12.2019.xlsx</v>
      </c>
      <c r="C342" s="14">
        <v>702545</v>
      </c>
      <c r="D342" s="14"/>
      <c r="E342" s="14">
        <v>686827.96</v>
      </c>
      <c r="F342" s="14">
        <v>0</v>
      </c>
      <c r="G342" s="14">
        <v>558177.16</v>
      </c>
      <c r="H342" s="14">
        <v>0</v>
      </c>
      <c r="I342" s="14"/>
      <c r="J342" s="14"/>
    </row>
    <row r="343" spans="1:10" x14ac:dyDescent="0.25">
      <c r="A343" s="7">
        <v>43810</v>
      </c>
      <c r="B343" s="8" t="str">
        <f>HYPERLINK("Y:\Brents\Brent Charlie\Brent Charlie Oil Export\6. General Information\Oil Export Totaliser Error\MR 2019\11.12.19.xlsx","11.12.19.xlsx")</f>
        <v>11.12.19.xlsx</v>
      </c>
      <c r="C343" s="14">
        <v>702545</v>
      </c>
      <c r="D343" s="14"/>
      <c r="E343" s="14">
        <v>686827.96</v>
      </c>
      <c r="F343" s="14">
        <v>0</v>
      </c>
      <c r="G343" s="14">
        <v>558177.16</v>
      </c>
      <c r="H343" s="14">
        <v>0</v>
      </c>
      <c r="I343" s="14"/>
      <c r="J343" s="14"/>
    </row>
    <row r="344" spans="1:10" x14ac:dyDescent="0.25">
      <c r="A344" s="7">
        <v>43811</v>
      </c>
      <c r="B344" s="8" t="str">
        <f>HYPERLINK("Y:\Brents\Brent Charlie\Brent Charlie Oil Export\6. General Information\Oil Export Totaliser Error\MR 2019\12.12.19.xlsx","12.12.19.xlsx")</f>
        <v>12.12.19.xlsx</v>
      </c>
      <c r="C344" s="14">
        <v>702545</v>
      </c>
      <c r="D344" s="14"/>
      <c r="E344" s="14">
        <v>686827.96</v>
      </c>
      <c r="F344" s="14">
        <v>0</v>
      </c>
      <c r="G344" s="14">
        <v>558177.16</v>
      </c>
      <c r="H344" s="14">
        <v>0</v>
      </c>
      <c r="I344" s="14"/>
      <c r="J344" s="14"/>
    </row>
    <row r="345" spans="1:10" x14ac:dyDescent="0.25">
      <c r="A345" s="7">
        <v>43812</v>
      </c>
      <c r="B345" s="8" t="str">
        <f>HYPERLINK("Y:\Brents\Brent Charlie\Brent Charlie Oil Export\6. General Information\Oil Export Totaliser Error\MR 2019\13.12.19.xlsx","13.12.19.xlsx")</f>
        <v>13.12.19.xlsx</v>
      </c>
      <c r="C345" s="14">
        <v>702545</v>
      </c>
      <c r="D345" s="14">
        <v>0</v>
      </c>
      <c r="E345" s="14">
        <v>686827.96</v>
      </c>
      <c r="F345" s="14">
        <v>0</v>
      </c>
      <c r="G345" s="14">
        <v>558177.16</v>
      </c>
      <c r="H345" s="14">
        <v>0</v>
      </c>
      <c r="I345" s="14"/>
      <c r="J345" s="14"/>
    </row>
    <row r="346" spans="1:10" x14ac:dyDescent="0.25">
      <c r="A346" s="7">
        <v>43813</v>
      </c>
      <c r="B346" s="8" t="str">
        <f>HYPERLINK("Y:\Brents\Brent Charlie\Brent Charlie Oil Export\6. General Information\Oil Export Totaliser Error\MR 2019\14.12.19.xlsx","14.12.19.xlsx")</f>
        <v>14.12.19.xlsx</v>
      </c>
      <c r="C346" s="14">
        <v>712929.51974899997</v>
      </c>
      <c r="D346" s="14">
        <v>8383.6880000000001</v>
      </c>
      <c r="E346" s="14">
        <v>695048.08475299994</v>
      </c>
      <c r="F346" s="14">
        <v>8220.1239999999998</v>
      </c>
      <c r="G346" s="14">
        <v>564807.34004399995</v>
      </c>
      <c r="H346" s="14">
        <v>6630.1760000000004</v>
      </c>
      <c r="I346" s="14"/>
      <c r="J346" s="14"/>
    </row>
    <row r="347" spans="1:10" x14ac:dyDescent="0.25">
      <c r="A347" s="7">
        <v>43814</v>
      </c>
      <c r="B347" s="8" t="str">
        <f>HYPERLINK("Y:\Brents\Brent Charlie\Brent Charlie Oil Export\6. General Information\Oil Export Totaliser Error\MR 2019\15.12.19.xlsx","15.12.19.xlsx")</f>
        <v>15.12.19.xlsx</v>
      </c>
      <c r="C347" s="14">
        <v>717842.56811899994</v>
      </c>
      <c r="D347" s="14">
        <v>6913.0479999999998</v>
      </c>
      <c r="E347" s="14">
        <v>701831.76396300003</v>
      </c>
      <c r="F347" s="14">
        <v>6783.6790000000001</v>
      </c>
      <c r="G347" s="14">
        <v>570289.75847300002</v>
      </c>
      <c r="H347" s="14">
        <v>5482.4179999999997</v>
      </c>
      <c r="I347" s="14"/>
      <c r="J347" s="14"/>
    </row>
    <row r="348" spans="1:10" x14ac:dyDescent="0.25">
      <c r="A348" s="7">
        <v>43815</v>
      </c>
      <c r="B348" s="8" t="str">
        <f>HYPERLINK("Y:\Brents\Brent Charlie\Brent Charlie Oil Export\6. General Information\Oil Export Totaliser Error\MR 2019\16.12.19.xlsx","16.12.19.xlsx")</f>
        <v>16.12.19.xlsx</v>
      </c>
      <c r="C348" s="14">
        <v>717842.56811899994</v>
      </c>
      <c r="D348" s="14">
        <v>0</v>
      </c>
      <c r="E348" s="14">
        <v>701831.76396300003</v>
      </c>
      <c r="F348" s="14">
        <v>0</v>
      </c>
      <c r="G348" s="14">
        <v>570289.75847300002</v>
      </c>
      <c r="H348" s="14">
        <v>0</v>
      </c>
      <c r="I348" s="14"/>
      <c r="J348" s="14"/>
    </row>
    <row r="349" spans="1:10" x14ac:dyDescent="0.25">
      <c r="A349" s="7">
        <v>43816</v>
      </c>
      <c r="B349" s="8" t="str">
        <f>HYPERLINK("Y:\Brents\Brent Charlie\Brent Charlie Oil Export\6. General Information\Oil Export Totaliser Error\MR 2019\17.12.19.xlsx","17.12.19.xlsx")</f>
        <v>17.12.19.xlsx</v>
      </c>
      <c r="C349" s="14">
        <v>717842.56811899994</v>
      </c>
      <c r="D349" s="14">
        <v>0</v>
      </c>
      <c r="E349" s="14">
        <v>701831.76396300003</v>
      </c>
      <c r="F349" s="14">
        <v>0</v>
      </c>
      <c r="G349" s="14">
        <v>570289.75847300002</v>
      </c>
      <c r="H349" s="14">
        <v>0</v>
      </c>
      <c r="I349" s="14"/>
      <c r="J349" s="14"/>
    </row>
    <row r="350" spans="1:10" x14ac:dyDescent="0.25">
      <c r="A350" s="7">
        <v>43817</v>
      </c>
      <c r="B350" s="8" t="str">
        <f>HYPERLINK("Y:\Brents\Brent Charlie\Brent Charlie Oil Export\6. General Information\Oil Export Totaliser Error\MR 2019\18.12.19.xlsx","18.12.19.xlsx")</f>
        <v>18.12.19.xlsx</v>
      </c>
      <c r="C350" s="14">
        <v>717842.56811899994</v>
      </c>
      <c r="D350" s="14">
        <v>0</v>
      </c>
      <c r="E350" s="14">
        <v>701831.76396300003</v>
      </c>
      <c r="F350" s="14">
        <v>0</v>
      </c>
      <c r="G350" s="14">
        <v>570289.75847300002</v>
      </c>
      <c r="H350" s="14">
        <v>0</v>
      </c>
      <c r="I350" s="14"/>
      <c r="J350" s="14"/>
    </row>
    <row r="351" spans="1:10" x14ac:dyDescent="0.25">
      <c r="A351" s="7">
        <v>43818</v>
      </c>
      <c r="B351" s="8" t="str">
        <f>HYPERLINK("Y:\Brents\Brent Charlie\Brent Charlie Oil Export\6. General Information\Oil Export Totaliser Error\MR 2019\19.12.19.xlsx","19.12.19.xlsx")</f>
        <v>19.12.19.xlsx</v>
      </c>
      <c r="C351" s="14">
        <v>717842.56811899994</v>
      </c>
      <c r="D351" s="14">
        <v>0</v>
      </c>
      <c r="E351" s="14">
        <v>701831.76396300003</v>
      </c>
      <c r="F351" s="14">
        <v>0</v>
      </c>
      <c r="G351" s="14">
        <v>570289.75847300002</v>
      </c>
      <c r="H351" s="14">
        <v>0</v>
      </c>
      <c r="I351" s="14"/>
      <c r="J351" s="14"/>
    </row>
    <row r="352" spans="1:10" x14ac:dyDescent="0.25">
      <c r="A352" s="7">
        <v>43819</v>
      </c>
      <c r="B352" s="8" t="str">
        <f>HYPERLINK("Y:\Brents\Brent Charlie\Brent Charlie Oil Export\6. General Information\Oil Export Totaliser Error\MR 2019\20.12.19.xlsx","20.12.19.xlsx")</f>
        <v>20.12.19.xlsx</v>
      </c>
      <c r="C352" s="14">
        <v>717842.56811899994</v>
      </c>
      <c r="D352" s="14">
        <v>0</v>
      </c>
      <c r="E352" s="14">
        <v>701831.76396300003</v>
      </c>
      <c r="F352" s="14">
        <v>0</v>
      </c>
      <c r="G352" s="14">
        <v>570289.75847300002</v>
      </c>
      <c r="H352" s="14">
        <v>0</v>
      </c>
      <c r="I352" s="14"/>
      <c r="J352" s="14"/>
    </row>
    <row r="353" spans="1:10" x14ac:dyDescent="0.25">
      <c r="A353" s="7">
        <v>43820</v>
      </c>
      <c r="B353" s="8" t="str">
        <f>HYPERLINK("Y:\Brents\Brent Charlie\Brent Charlie Oil Export\6. General Information\Oil Export Totaliser Error\MR 2019\21.12.19.xlsx","21.12.19.xlsx")</f>
        <v>21.12.19.xlsx</v>
      </c>
      <c r="C353" s="14">
        <v>717842.56811899994</v>
      </c>
      <c r="D353" s="14">
        <v>0</v>
      </c>
      <c r="E353" s="14">
        <v>701831.76396300003</v>
      </c>
      <c r="F353" s="14">
        <v>0</v>
      </c>
      <c r="G353" s="14">
        <v>570289.75847300002</v>
      </c>
      <c r="H353" s="14">
        <v>0</v>
      </c>
      <c r="I353" s="14"/>
      <c r="J353" s="14"/>
    </row>
    <row r="354" spans="1:10" x14ac:dyDescent="0.25">
      <c r="A354" s="7">
        <v>43821</v>
      </c>
      <c r="B354" s="8" t="str">
        <f>HYPERLINK("Y:\Brents\Brent Charlie\Brent Charlie Oil Export\6. General Information\Oil Export Totaliser Error\MR 2019\22.12.19.xlsx","22.12.19.xlsx")</f>
        <v>22.12.19.xlsx</v>
      </c>
      <c r="C354" s="14">
        <v>717842.56811899994</v>
      </c>
      <c r="D354" s="14">
        <v>0</v>
      </c>
      <c r="E354" s="14">
        <v>701831.76396300003</v>
      </c>
      <c r="F354" s="14">
        <v>0</v>
      </c>
      <c r="G354" s="14">
        <v>570289.75847300002</v>
      </c>
      <c r="H354" s="14">
        <v>0</v>
      </c>
      <c r="I354" s="14"/>
      <c r="J354" s="14"/>
    </row>
    <row r="355" spans="1:10" x14ac:dyDescent="0.25">
      <c r="A355" s="7">
        <v>43822</v>
      </c>
      <c r="B355" s="8" t="str">
        <f>HYPERLINK("Y:\Brents\Brent Charlie\Brent Charlie Oil Export\6. General Information\Oil Export Totaliser Error\MR 2019\23.12.19.xlsx","23.12.19.xlsx")</f>
        <v>23.12.19.xlsx</v>
      </c>
      <c r="C355" s="14">
        <v>717842.56811899994</v>
      </c>
      <c r="D355" s="14">
        <v>0</v>
      </c>
      <c r="E355" s="14">
        <v>701831.76396300003</v>
      </c>
      <c r="F355" s="14">
        <v>0</v>
      </c>
      <c r="G355" s="14">
        <v>570289.75847300002</v>
      </c>
      <c r="H355" s="14">
        <v>0</v>
      </c>
      <c r="I355" s="14"/>
      <c r="J355" s="14"/>
    </row>
    <row r="356" spans="1:10" x14ac:dyDescent="0.25">
      <c r="A356" s="7">
        <v>43823</v>
      </c>
      <c r="B356" s="8" t="str">
        <f>HYPERLINK("Y:\Brents\Brent Charlie\Brent Charlie Oil Export\6. General Information\Oil Export Totaliser Error\MR 2019\24.12.19.xlsx","24.12.19.xlsx")</f>
        <v>24.12.19.xlsx</v>
      </c>
      <c r="C356" s="14">
        <v>717842.56811899994</v>
      </c>
      <c r="D356" s="14">
        <v>0</v>
      </c>
      <c r="E356" s="14">
        <v>701831.76396300003</v>
      </c>
      <c r="F356" s="14">
        <v>0</v>
      </c>
      <c r="G356" s="14">
        <v>570289.75847300002</v>
      </c>
      <c r="H356" s="14">
        <v>0</v>
      </c>
      <c r="I356" s="14"/>
      <c r="J356" s="14"/>
    </row>
    <row r="357" spans="1:10" x14ac:dyDescent="0.25">
      <c r="A357" s="7">
        <v>43824</v>
      </c>
      <c r="B357" s="8" t="str">
        <f>HYPERLINK("Y:\Brents\Brent Charlie\Brent Charlie Oil Export\6. General Information\Oil Export Totaliser Error\MR 2019\25.12.19.xlsx","25.12.19.xlsx")</f>
        <v>25.12.19.xlsx</v>
      </c>
      <c r="C357" s="14">
        <v>717842.56811899994</v>
      </c>
      <c r="D357" s="14">
        <v>0</v>
      </c>
      <c r="E357" s="14">
        <v>701831.76396300003</v>
      </c>
      <c r="F357" s="14">
        <v>0</v>
      </c>
      <c r="G357" s="14">
        <v>570289.75847300002</v>
      </c>
      <c r="H357" s="14">
        <v>0</v>
      </c>
      <c r="I357" s="14"/>
      <c r="J357" s="14"/>
    </row>
    <row r="358" spans="1:10" x14ac:dyDescent="0.25">
      <c r="A358" s="7">
        <v>43825</v>
      </c>
      <c r="B358" s="8" t="str">
        <f>HYPERLINK("Y:\Brents\Brent Charlie\Brent Charlie Oil Export\6. General Information\Oil Export Totaliser Error\MR 2019\26.12.19.xlsx","26.12.19.xlsx")</f>
        <v>26.12.19.xlsx</v>
      </c>
      <c r="C358" s="14">
        <v>717842.56811899994</v>
      </c>
      <c r="D358" s="14">
        <v>0</v>
      </c>
      <c r="E358" s="14">
        <v>701831.76396300003</v>
      </c>
      <c r="F358" s="14">
        <v>0</v>
      </c>
      <c r="G358" s="14">
        <v>570289.75847300002</v>
      </c>
      <c r="H358" s="14">
        <v>0</v>
      </c>
      <c r="I358" s="14"/>
      <c r="J358" s="14"/>
    </row>
    <row r="359" spans="1:10" x14ac:dyDescent="0.25">
      <c r="A359" s="7">
        <v>43826</v>
      </c>
      <c r="B359" s="8" t="str">
        <f>HYPERLINK("Y:\Brents\Brent Charlie\Brent Charlie Oil Export\6. General Information\Oil Export Totaliser Error\MR 2019\27.12.19.xlsx","27.12.19.xlsx")</f>
        <v>27.12.19.xlsx</v>
      </c>
      <c r="C359" s="14">
        <v>726698.59499999997</v>
      </c>
      <c r="D359" s="14">
        <v>8856.027</v>
      </c>
      <c r="E359" s="14">
        <v>710526.27099999995</v>
      </c>
      <c r="F359" s="14">
        <v>8694.5079999999998</v>
      </c>
      <c r="G359" s="14">
        <v>577307.69799999997</v>
      </c>
      <c r="H359" s="14">
        <v>7017.94</v>
      </c>
      <c r="I359" s="14"/>
      <c r="J359" s="14"/>
    </row>
    <row r="360" spans="1:10" x14ac:dyDescent="0.25">
      <c r="A360" s="7">
        <v>43827</v>
      </c>
      <c r="B360" s="8" t="str">
        <f>HYPERLINK("Y:\Brents\Brent Charlie\Brent Charlie Oil Export\6. General Information\Oil Export Totaliser Error\MR 2019\28.12.19.xlsx","28.12.19.xlsx")</f>
        <v>28.12.19.xlsx</v>
      </c>
      <c r="C360" s="14">
        <v>731922.26199999999</v>
      </c>
      <c r="D360" s="14">
        <v>5223.6670000000004</v>
      </c>
      <c r="E360" s="14">
        <v>715654.21100000001</v>
      </c>
      <c r="F360" s="14">
        <v>5127.9399999999996</v>
      </c>
      <c r="G360" s="14">
        <v>581447.58499999996</v>
      </c>
      <c r="H360" s="14">
        <v>4139.8860000000004</v>
      </c>
      <c r="I360" s="14"/>
      <c r="J360" s="14"/>
    </row>
    <row r="361" spans="1:10" x14ac:dyDescent="0.25">
      <c r="A361" s="7">
        <v>43828</v>
      </c>
      <c r="B361" s="8" t="str">
        <f>HYPERLINK("Y:\Brents\Brent Charlie\Brent Charlie Oil Export\6. General Information\Oil Export Totaliser Error\MR 2019\29.12.19.xlsx","29.12.19.xlsx")</f>
        <v>29.12.19.xlsx</v>
      </c>
      <c r="C361" s="14">
        <v>731922.26199999999</v>
      </c>
      <c r="D361" s="14">
        <v>0</v>
      </c>
      <c r="E361" s="14">
        <v>715654.21100000001</v>
      </c>
      <c r="F361" s="14">
        <v>0</v>
      </c>
      <c r="G361" s="14">
        <v>581447.58499999996</v>
      </c>
      <c r="H361" s="14">
        <v>0</v>
      </c>
      <c r="I361" s="14"/>
      <c r="J361" s="14"/>
    </row>
    <row r="362" spans="1:10" x14ac:dyDescent="0.25">
      <c r="A362" s="7">
        <v>43829</v>
      </c>
      <c r="B362" s="8" t="str">
        <f>HYPERLINK("Y:\Brents\Brent Charlie\Brent Charlie Oil Export\6. General Information\Oil Export Totaliser Error\MR 2019\30.12.19.xlsx","30.12.19.xlsx")</f>
        <v>30.12.19.xlsx</v>
      </c>
      <c r="C362" s="14">
        <v>731922.26199999999</v>
      </c>
      <c r="D362" s="14">
        <v>0</v>
      </c>
      <c r="E362" s="14">
        <v>715654.21100000001</v>
      </c>
      <c r="F362" s="14">
        <v>0</v>
      </c>
      <c r="G362" s="14">
        <v>581447.58499999996</v>
      </c>
      <c r="H362" s="14">
        <v>0</v>
      </c>
      <c r="I362" s="14"/>
      <c r="J362" s="14"/>
    </row>
    <row r="363" spans="1:10" x14ac:dyDescent="0.25">
      <c r="A363" s="7">
        <v>43830</v>
      </c>
      <c r="B363" s="8" t="str">
        <f>HYPERLINK("Y:\Brents\Brent Charlie\Brent Charlie Oil Export\6. General Information\Oil Export Totaliser Error\MR 2019\31.12.19.xlsx","31.12.19.xlsx")</f>
        <v>31.12.19.xlsx</v>
      </c>
      <c r="C363" s="14">
        <v>731922.26199999999</v>
      </c>
      <c r="D363" s="14">
        <v>0</v>
      </c>
      <c r="E363" s="14">
        <v>715654.21100000001</v>
      </c>
      <c r="F363" s="14">
        <v>0</v>
      </c>
      <c r="G363" s="14">
        <v>581447.58499999996</v>
      </c>
      <c r="H363" s="14">
        <v>0</v>
      </c>
      <c r="I363" s="14"/>
      <c r="J363" s="14"/>
    </row>
    <row r="364" spans="1:10" x14ac:dyDescent="0.25">
      <c r="A364" s="7">
        <v>43831</v>
      </c>
      <c r="B364" s="8" t="str">
        <f>HYPERLINK("Y:\Brents\Brent Charlie\Brent Charlie Oil Export\6. General Information\Oil Export Totaliser Error\MR 2020\01.01.20.xlsx","01.01.20.xlsx")</f>
        <v>01.01.20.xlsx</v>
      </c>
      <c r="C364" s="14">
        <v>731922.26199999999</v>
      </c>
      <c r="D364" s="14">
        <v>0</v>
      </c>
      <c r="E364" s="14">
        <v>715654.21100000001</v>
      </c>
      <c r="F364" s="14">
        <v>0</v>
      </c>
      <c r="G364" s="14">
        <v>581447.58499999996</v>
      </c>
      <c r="H364" s="14">
        <v>0</v>
      </c>
    </row>
    <row r="365" spans="1:10" x14ac:dyDescent="0.25">
      <c r="A365" s="7">
        <v>43832</v>
      </c>
      <c r="B365" s="8" t="str">
        <f>HYPERLINK("Y:\Brents\Brent Charlie\Brent Charlie Oil Export\6. General Information\Oil Export Totaliser Error\MR 2020\02.01.20.xlsx","02.01.20.xlsx")</f>
        <v>02.01.20.xlsx</v>
      </c>
      <c r="C365" s="14">
        <v>731922.26199999999</v>
      </c>
      <c r="D365" s="14">
        <v>0</v>
      </c>
      <c r="E365" s="14">
        <v>715654.21100000001</v>
      </c>
      <c r="F365" s="14">
        <v>0</v>
      </c>
      <c r="G365" s="14">
        <v>581447.58499999996</v>
      </c>
      <c r="H365" s="14">
        <v>0</v>
      </c>
    </row>
    <row r="366" spans="1:10" x14ac:dyDescent="0.25">
      <c r="A366" s="7">
        <v>43833</v>
      </c>
      <c r="B366" s="8" t="str">
        <f>HYPERLINK("Y:\Brents\Brent Charlie\Brent Charlie Oil Export\6. General Information\Oil Export Totaliser Error\MR 2020\03.01.20.xlsx","03.01.20.xlsx")</f>
        <v>03.01.20.xlsx</v>
      </c>
      <c r="C366" s="14">
        <v>731922.26199999999</v>
      </c>
      <c r="D366" s="14">
        <v>0</v>
      </c>
      <c r="E366" s="14">
        <v>715654.21100000001</v>
      </c>
      <c r="F366" s="14">
        <v>0</v>
      </c>
      <c r="G366" s="14">
        <v>581447.58499999996</v>
      </c>
      <c r="H366" s="14">
        <v>0</v>
      </c>
    </row>
    <row r="367" spans="1:10" x14ac:dyDescent="0.25">
      <c r="A367" s="7">
        <v>43834</v>
      </c>
      <c r="B367" s="8" t="str">
        <f>HYPERLINK("Y:\Brents\Brent Charlie\Brent Charlie Oil Export\6. General Information\Oil Export Totaliser Error\MR 2020\04.01.20.xlsx","04.01.20.xlsx")</f>
        <v>04.01.20.xlsx</v>
      </c>
      <c r="C367" s="14">
        <v>731922.26199999999</v>
      </c>
      <c r="D367" s="14">
        <v>0</v>
      </c>
      <c r="E367" s="14">
        <v>715654.21100000001</v>
      </c>
      <c r="F367" s="14">
        <v>0</v>
      </c>
      <c r="G367" s="14">
        <v>581447.58499999996</v>
      </c>
      <c r="H367" s="14">
        <v>0</v>
      </c>
    </row>
    <row r="368" spans="1:10" x14ac:dyDescent="0.25">
      <c r="A368" s="7">
        <v>43835</v>
      </c>
      <c r="B368" s="8" t="str">
        <f>HYPERLINK("Y:\Brents\Brent Charlie\Brent Charlie Oil Export\6. General Information\Oil Export Totaliser Error\MR 2020\05.01.20.xlsx","05.01.20.xlsx")</f>
        <v>05.01.20.xlsx</v>
      </c>
      <c r="C368" s="14">
        <v>731922.26199999999</v>
      </c>
      <c r="D368" s="14">
        <v>0</v>
      </c>
      <c r="E368" s="14">
        <v>715654.21100000001</v>
      </c>
      <c r="F368" s="14">
        <v>0</v>
      </c>
      <c r="G368" s="14">
        <v>581447.58499999996</v>
      </c>
      <c r="H368" s="14">
        <v>0</v>
      </c>
    </row>
    <row r="369" spans="1:8" x14ac:dyDescent="0.25">
      <c r="A369" s="7">
        <v>43836</v>
      </c>
      <c r="B369" s="8" t="str">
        <f>HYPERLINK("Y:\Brents\Brent Charlie\Brent Charlie Oil Export\6. General Information\Oil Export Totaliser Error\MR 2020\06.01.20.xlsx","06.01.20.xlsx")</f>
        <v>06.01.20.xlsx</v>
      </c>
      <c r="C369" s="14">
        <v>731922.26199999999</v>
      </c>
      <c r="D369" s="14">
        <v>0</v>
      </c>
      <c r="E369" s="14">
        <v>715654.21100000001</v>
      </c>
      <c r="F369" s="14">
        <v>0</v>
      </c>
      <c r="G369" s="14">
        <v>581447.58499999996</v>
      </c>
      <c r="H369" s="14">
        <v>0</v>
      </c>
    </row>
    <row r="370" spans="1:8" x14ac:dyDescent="0.25">
      <c r="A370" s="7">
        <v>43837</v>
      </c>
      <c r="B370" s="8" t="str">
        <f>HYPERLINK("Y:\Brents\Brent Charlie\Brent Charlie Oil Export\6. General Information\Oil Export Totaliser Error\MR 2020\07.01.20.xlsx","07.01.20.xlsx")</f>
        <v>07.01.20.xlsx</v>
      </c>
      <c r="C370" s="14">
        <v>731922.26199999999</v>
      </c>
      <c r="D370" s="14">
        <v>0</v>
      </c>
      <c r="E370" s="14">
        <v>715654.21100000001</v>
      </c>
      <c r="F370" s="14">
        <v>0</v>
      </c>
      <c r="G370" s="14">
        <v>581447.58499999996</v>
      </c>
      <c r="H370" s="14">
        <v>0</v>
      </c>
    </row>
    <row r="371" spans="1:8" x14ac:dyDescent="0.25">
      <c r="A371" s="7">
        <v>43838</v>
      </c>
      <c r="B371" s="8" t="str">
        <f>HYPERLINK("Y:\Brents\Brent Charlie\Brent Charlie Oil Export\6. General Information\Oil Export Totaliser Error\MR 2020\08.01.20.xlsx","08.01.20.xlsx")</f>
        <v>08.01.20.xlsx</v>
      </c>
      <c r="C371" s="14">
        <v>731922.26199999999</v>
      </c>
      <c r="D371" s="14">
        <v>0</v>
      </c>
      <c r="E371" s="14">
        <v>715654.21100000001</v>
      </c>
      <c r="F371" s="14">
        <v>0</v>
      </c>
      <c r="G371" s="14">
        <v>581447.58499999996</v>
      </c>
      <c r="H371" s="14">
        <v>0</v>
      </c>
    </row>
    <row r="372" spans="1:8" x14ac:dyDescent="0.25">
      <c r="A372" s="7">
        <v>43839</v>
      </c>
      <c r="B372" s="8" t="str">
        <f>HYPERLINK("Y:\Brents\Brent Charlie\Brent Charlie Oil Export\6. General Information\Oil Export Totaliser Error\MR 2020\09.01.20.xlsx","09.01.20.xlsx")</f>
        <v>09.01.20.xlsx</v>
      </c>
      <c r="C372" s="14">
        <v>731922.26199999999</v>
      </c>
      <c r="D372" s="14">
        <v>0</v>
      </c>
      <c r="E372" s="14">
        <v>715654.21100000001</v>
      </c>
      <c r="F372" s="14">
        <v>0</v>
      </c>
      <c r="G372" s="14">
        <v>581447.58499999996</v>
      </c>
      <c r="H372" s="14">
        <v>0</v>
      </c>
    </row>
    <row r="373" spans="1:8" x14ac:dyDescent="0.25">
      <c r="A373" s="7">
        <v>43840</v>
      </c>
      <c r="B373" s="8" t="str">
        <f>HYPERLINK("Y:\Brents\Brent Charlie\Brent Charlie Oil Export\6. General Information\Oil Export Totaliser Error\MR 2020\10.01.20.xlsx","10.01.20.xlsx")</f>
        <v>10.01.20.xlsx</v>
      </c>
      <c r="C373" s="14">
        <v>737759.28628100001</v>
      </c>
      <c r="D373" s="14">
        <v>5837.0240000000003</v>
      </c>
      <c r="E373" s="14">
        <v>721392.73190000001</v>
      </c>
      <c r="F373" s="14">
        <v>5738.5209999999997</v>
      </c>
      <c r="G373" s="14">
        <v>586072.96431099996</v>
      </c>
      <c r="H373" s="14">
        <v>4625.3789999999999</v>
      </c>
    </row>
    <row r="374" spans="1:8" x14ac:dyDescent="0.25">
      <c r="A374" s="7">
        <v>43841</v>
      </c>
      <c r="B374" s="8" t="str">
        <f>HYPERLINK("Y:\Brents\Brent Charlie\Brent Charlie Oil Export\6. General Information\Oil Export Totaliser Error\MR 2020\11.01.20.xlsx","11.01.20.xlsx")</f>
        <v>11.01.20.xlsx</v>
      </c>
      <c r="C374" s="14">
        <v>745245.15599999996</v>
      </c>
      <c r="D374" s="14">
        <v>7485.87</v>
      </c>
      <c r="E374" s="14">
        <v>728747.01500000001</v>
      </c>
      <c r="F374" s="14">
        <v>7354.28</v>
      </c>
      <c r="G374" s="14">
        <v>592024.46200000006</v>
      </c>
      <c r="H374" s="14">
        <v>5951.4979999999996</v>
      </c>
    </row>
    <row r="375" spans="1:8" x14ac:dyDescent="0.25">
      <c r="A375" s="7">
        <v>43842</v>
      </c>
      <c r="B375" s="8" t="str">
        <f>HYPERLINK("Y:\Brents\Brent Charlie\Brent Charlie Oil Export\6. General Information\Oil Export Totaliser Error\MR 2020\12.01.20.xlsx","12.01.20.xlsx")</f>
        <v>12.01.20.xlsx</v>
      </c>
      <c r="C375" s="14">
        <v>745245.15599999996</v>
      </c>
      <c r="D375" s="14">
        <v>0</v>
      </c>
      <c r="E375" s="14">
        <v>728747.01500000001</v>
      </c>
      <c r="F375" s="14">
        <v>0</v>
      </c>
      <c r="G375" s="14">
        <v>592024.46200000006</v>
      </c>
      <c r="H375" s="14">
        <v>0</v>
      </c>
    </row>
    <row r="376" spans="1:8" x14ac:dyDescent="0.25">
      <c r="A376" s="7">
        <v>43843</v>
      </c>
      <c r="B376" s="8" t="str">
        <f>HYPERLINK("Y:\Brents\Brent Charlie\Brent Charlie Oil Export\6. General Information\Oil Export Totaliser Error\MR 2020\13.01.20.xlsx","13.01.20.xlsx")</f>
        <v>13.01.20.xlsx</v>
      </c>
      <c r="C376" s="14">
        <v>745245.15599999996</v>
      </c>
      <c r="D376" s="14">
        <v>0</v>
      </c>
      <c r="E376" s="14">
        <v>728747.01500000001</v>
      </c>
      <c r="F376" s="14">
        <v>0</v>
      </c>
      <c r="G376" s="14">
        <v>592024.46200000006</v>
      </c>
      <c r="H376" s="14">
        <v>0</v>
      </c>
    </row>
    <row r="377" spans="1:8" x14ac:dyDescent="0.25">
      <c r="A377" s="7">
        <v>43844</v>
      </c>
      <c r="B377" s="8" t="str">
        <f>HYPERLINK("Y:\Brents\Brent Charlie\Brent Charlie Oil Export\6. General Information\Oil Export Totaliser Error\MR 2020\14.01.20.xlsx","14.01.20.xlsx")</f>
        <v>14.01.20.xlsx</v>
      </c>
      <c r="C377" s="14">
        <v>745245.15599999996</v>
      </c>
      <c r="D377" s="14">
        <v>0</v>
      </c>
      <c r="E377" s="14">
        <v>728747.01500000001</v>
      </c>
      <c r="F377" s="14">
        <v>0</v>
      </c>
      <c r="G377" s="14">
        <v>592024.46200000006</v>
      </c>
      <c r="H377" s="14">
        <v>0</v>
      </c>
    </row>
    <row r="378" spans="1:8" x14ac:dyDescent="0.25">
      <c r="A378" s="7">
        <v>43845</v>
      </c>
      <c r="B378" s="8" t="str">
        <f>HYPERLINK("Y:\Brents\Brent Charlie\Brent Charlie Oil Export\6. General Information\Oil Export Totaliser Error\MR 2020\15.01.20.xlsx","15.01.20.xlsx")</f>
        <v>15.01.20.xlsx</v>
      </c>
      <c r="C378" s="14">
        <v>745245.15599999996</v>
      </c>
      <c r="D378" s="14">
        <v>0</v>
      </c>
      <c r="E378" s="14">
        <v>728747.01500000001</v>
      </c>
      <c r="F378" s="14">
        <v>0</v>
      </c>
      <c r="G378" s="14">
        <v>592024.46200000006</v>
      </c>
      <c r="H378" s="14">
        <v>0</v>
      </c>
    </row>
    <row r="379" spans="1:8" x14ac:dyDescent="0.25">
      <c r="A379" s="7">
        <v>43846</v>
      </c>
      <c r="B379" s="8" t="str">
        <f>HYPERLINK("Y:\Brents\Brent Charlie\Brent Charlie Oil Export\6. General Information\Oil Export Totaliser Error\MR 2020\16.01.20.xlsx","16.01.20.xlsx")</f>
        <v>16.01.20.xlsx</v>
      </c>
      <c r="C379" s="14">
        <v>745245.15599999996</v>
      </c>
      <c r="D379" s="14">
        <v>0</v>
      </c>
      <c r="E379" s="14">
        <v>728747.01500000001</v>
      </c>
      <c r="F379" s="14">
        <v>0</v>
      </c>
      <c r="G379" s="14">
        <v>592024.46200000006</v>
      </c>
      <c r="H379" s="14">
        <v>0</v>
      </c>
    </row>
    <row r="380" spans="1:8" x14ac:dyDescent="0.25">
      <c r="A380" s="7">
        <v>43847</v>
      </c>
      <c r="B380" s="8" t="str">
        <f>HYPERLINK("Y:\Brents\Brent Charlie\Brent Charlie Oil Export\6. General Information\Oil Export Totaliser Error\MR 2020\17.01.20.xlsx","17.01.20.xlsx")</f>
        <v>17.01.20.xlsx</v>
      </c>
      <c r="C380" s="14">
        <v>745245.15599999996</v>
      </c>
      <c r="D380" s="14">
        <v>0</v>
      </c>
      <c r="E380" s="14">
        <v>728747.01500000001</v>
      </c>
      <c r="F380" s="14">
        <v>0</v>
      </c>
      <c r="G380" s="14">
        <v>592024.46200000006</v>
      </c>
      <c r="H380" s="14">
        <v>0</v>
      </c>
    </row>
    <row r="381" spans="1:8" x14ac:dyDescent="0.25">
      <c r="A381" s="7">
        <v>43848</v>
      </c>
      <c r="B381" s="8" t="str">
        <f>HYPERLINK("Y:\Brents\Brent Charlie\Brent Charlie Oil Export\6. General Information\Oil Export Totaliser Error\MR 2020\18.01.20.xlsx","18.01.20.xlsx")</f>
        <v>18.01.20.xlsx</v>
      </c>
      <c r="C381" s="14">
        <v>745245.15599999996</v>
      </c>
      <c r="D381" s="14">
        <v>0</v>
      </c>
      <c r="E381" s="14">
        <v>728747.01500000001</v>
      </c>
      <c r="F381" s="14">
        <v>0</v>
      </c>
      <c r="G381" s="14">
        <v>592024.46200000006</v>
      </c>
      <c r="H381" s="14">
        <v>0</v>
      </c>
    </row>
    <row r="382" spans="1:8" x14ac:dyDescent="0.25">
      <c r="A382" s="7">
        <v>43849</v>
      </c>
      <c r="B382" s="8" t="str">
        <f>HYPERLINK("Y:\Brents\Brent Charlie\Brent Charlie Oil Export\6. General Information\Oil Export Totaliser Error\MR 2020\19.01.20.xlsx","19.01.20.xlsx")</f>
        <v>19.01.20.xlsx</v>
      </c>
      <c r="C382" s="14">
        <v>745245.15599999996</v>
      </c>
      <c r="D382" s="14">
        <v>0</v>
      </c>
      <c r="E382" s="14">
        <v>728747.01500000001</v>
      </c>
      <c r="F382" s="14">
        <v>0</v>
      </c>
      <c r="G382" s="14">
        <v>592024.46200000006</v>
      </c>
      <c r="H382" s="14">
        <v>0</v>
      </c>
    </row>
    <row r="383" spans="1:8" x14ac:dyDescent="0.25">
      <c r="A383" s="7">
        <v>43850</v>
      </c>
      <c r="B383" s="8" t="str">
        <f>HYPERLINK("Y:\Brents\Brent Charlie\Brent Charlie Oil Export\6. General Information\Oil Export Totaliser Error\MR 2020\20.01.20.xlsx","20.01.20.xlsx")</f>
        <v>20.01.20.xlsx</v>
      </c>
      <c r="C383" s="14">
        <v>753898</v>
      </c>
      <c r="D383" s="14">
        <v>8653.5689999999995</v>
      </c>
      <c r="E383" s="14">
        <v>737239</v>
      </c>
      <c r="F383" s="14">
        <v>8492.4079999999994</v>
      </c>
      <c r="G383" s="14">
        <v>598912</v>
      </c>
      <c r="H383" s="14">
        <v>6887.5540000000001</v>
      </c>
    </row>
    <row r="384" spans="1:8" x14ac:dyDescent="0.25">
      <c r="A384" s="7">
        <v>43851</v>
      </c>
      <c r="B384" s="8" t="str">
        <f>HYPERLINK("Y:\Brents\Brent Charlie\Brent Charlie Oil Export\6. General Information\Oil Export Totaliser Error\MR 2020\21.01.20.xlsx","21.01.20.xlsx")</f>
        <v>21.01.20.xlsx</v>
      </c>
      <c r="C384" s="14">
        <v>758092.08</v>
      </c>
      <c r="D384" s="14">
        <v>4193.1149999999998</v>
      </c>
      <c r="E384" s="14">
        <v>741353.46</v>
      </c>
      <c r="F384" s="14">
        <v>4113.8100000000004</v>
      </c>
      <c r="G384" s="14">
        <v>602238.34</v>
      </c>
      <c r="H384" s="14">
        <v>3326.1309999999999</v>
      </c>
    </row>
    <row r="385" spans="1:8" x14ac:dyDescent="0.25">
      <c r="A385" s="7">
        <v>43852</v>
      </c>
      <c r="B385" s="8" t="str">
        <f>HYPERLINK("Y:\Brents\Brent Charlie\Brent Charlie Oil Export\6. General Information\Oil Export Totaliser Error\MR 2020\22.01.20.xlsx","22.01.20.xlsx")</f>
        <v>22.01.20.xlsx</v>
      </c>
      <c r="C385" s="14">
        <v>758092.08</v>
      </c>
      <c r="D385" s="14">
        <v>0</v>
      </c>
      <c r="E385" s="14">
        <v>741353.46</v>
      </c>
      <c r="F385" s="14">
        <v>0</v>
      </c>
      <c r="G385" s="14">
        <v>602238.34</v>
      </c>
      <c r="H385" s="14">
        <v>0</v>
      </c>
    </row>
    <row r="386" spans="1:8" x14ac:dyDescent="0.25">
      <c r="A386" s="7">
        <v>43853</v>
      </c>
      <c r="B386" s="8" t="str">
        <f>HYPERLINK("Y:\Brents\Brent Charlie\Brent Charlie Oil Export\6. General Information\Oil Export Totaliser Error\MR 2020\23.01.20.xlsx","23.01.20.xlsx")</f>
        <v>23.01.20.xlsx</v>
      </c>
      <c r="C386" s="14">
        <v>758092.08</v>
      </c>
      <c r="D386" s="14">
        <v>0</v>
      </c>
      <c r="E386" s="14">
        <v>741353.46</v>
      </c>
      <c r="F386" s="14">
        <v>0</v>
      </c>
      <c r="G386" s="14">
        <v>602238.34</v>
      </c>
      <c r="H386" s="14">
        <v>0</v>
      </c>
    </row>
    <row r="387" spans="1:8" x14ac:dyDescent="0.25">
      <c r="A387" s="7">
        <v>43854</v>
      </c>
      <c r="B387" s="8" t="str">
        <f>HYPERLINK("Y:\Brents\Brent Charlie\Brent Charlie Oil Export\6. General Information\Oil Export Totaliser Error\MR 2020\24.01.20.xlsx","24.01.20.xlsx")</f>
        <v>24.01.20.xlsx</v>
      </c>
      <c r="C387" s="14">
        <v>758092.08</v>
      </c>
      <c r="D387" s="14">
        <v>0</v>
      </c>
      <c r="E387" s="14">
        <v>741353.46</v>
      </c>
      <c r="F387" s="14">
        <v>0</v>
      </c>
      <c r="G387" s="14">
        <v>602238.34</v>
      </c>
      <c r="H387" s="14">
        <v>0</v>
      </c>
    </row>
    <row r="388" spans="1:8" x14ac:dyDescent="0.25">
      <c r="C388" s="15"/>
    </row>
    <row r="389" spans="1:8" x14ac:dyDescent="0.25">
      <c r="C389" s="15"/>
    </row>
    <row r="390" spans="1:8" x14ac:dyDescent="0.25">
      <c r="C390" s="15"/>
    </row>
    <row r="391" spans="1:8" x14ac:dyDescent="0.25">
      <c r="C391" s="15"/>
    </row>
    <row r="392" spans="1:8" x14ac:dyDescent="0.25">
      <c r="C392" s="15"/>
    </row>
    <row r="393" spans="1:8" x14ac:dyDescent="0.25">
      <c r="C393" s="15"/>
    </row>
    <row r="394" spans="1:8" x14ac:dyDescent="0.25">
      <c r="C394" s="15"/>
    </row>
    <row r="395" spans="1:8" x14ac:dyDescent="0.25">
      <c r="C395" s="15"/>
    </row>
    <row r="396" spans="1:8" x14ac:dyDescent="0.25">
      <c r="C396" s="15"/>
    </row>
    <row r="397" spans="1:8" x14ac:dyDescent="0.25">
      <c r="C397" s="15"/>
    </row>
    <row r="398" spans="1:8" x14ac:dyDescent="0.25">
      <c r="C398" s="15"/>
    </row>
    <row r="399" spans="1:8" x14ac:dyDescent="0.25">
      <c r="C399" s="15"/>
    </row>
    <row r="400" spans="1:8" x14ac:dyDescent="0.25">
      <c r="C400" s="15"/>
    </row>
    <row r="401" spans="3:3" x14ac:dyDescent="0.25">
      <c r="C401" s="15"/>
    </row>
    <row r="402" spans="3:3" x14ac:dyDescent="0.25">
      <c r="C402" s="15"/>
    </row>
    <row r="403" spans="3:3" x14ac:dyDescent="0.25">
      <c r="C403" s="15"/>
    </row>
    <row r="404" spans="3:3" x14ac:dyDescent="0.25">
      <c r="C404" s="15"/>
    </row>
    <row r="405" spans="3:3" x14ac:dyDescent="0.25">
      <c r="C405" s="15"/>
    </row>
    <row r="406" spans="3:3" x14ac:dyDescent="0.25">
      <c r="C406" s="15"/>
    </row>
    <row r="407" spans="3:3" x14ac:dyDescent="0.25">
      <c r="C407" s="15"/>
    </row>
    <row r="408" spans="3:3" x14ac:dyDescent="0.25">
      <c r="C408" s="15"/>
    </row>
    <row r="409" spans="3:3" x14ac:dyDescent="0.25">
      <c r="C409" s="15"/>
    </row>
    <row r="410" spans="3:3" x14ac:dyDescent="0.25">
      <c r="C410" s="15"/>
    </row>
    <row r="411" spans="3:3" x14ac:dyDescent="0.25">
      <c r="C411" s="15"/>
    </row>
    <row r="412" spans="3:3" x14ac:dyDescent="0.25">
      <c r="C412" s="15"/>
    </row>
    <row r="413" spans="3:3" x14ac:dyDescent="0.25">
      <c r="C413" s="15"/>
    </row>
    <row r="414" spans="3:3" x14ac:dyDescent="0.25">
      <c r="C414" s="15"/>
    </row>
    <row r="415" spans="3:3" x14ac:dyDescent="0.25">
      <c r="C415" s="15"/>
    </row>
    <row r="416" spans="3:3" x14ac:dyDescent="0.25">
      <c r="C416" s="15"/>
    </row>
    <row r="417" spans="3:3" x14ac:dyDescent="0.25">
      <c r="C417" s="15"/>
    </row>
    <row r="418" spans="3:3" x14ac:dyDescent="0.25">
      <c r="C418" s="15"/>
    </row>
    <row r="419" spans="3:3" x14ac:dyDescent="0.25">
      <c r="C419" s="15"/>
    </row>
    <row r="420" spans="3:3" x14ac:dyDescent="0.25">
      <c r="C420" s="15"/>
    </row>
    <row r="421" spans="3:3" x14ac:dyDescent="0.25">
      <c r="C421" s="15"/>
    </row>
    <row r="422" spans="3:3" x14ac:dyDescent="0.25">
      <c r="C422" s="15"/>
    </row>
    <row r="423" spans="3:3" x14ac:dyDescent="0.25">
      <c r="C423" s="15"/>
    </row>
    <row r="424" spans="3:3" x14ac:dyDescent="0.25">
      <c r="C424" s="15"/>
    </row>
    <row r="425" spans="3:3" x14ac:dyDescent="0.25">
      <c r="C425" s="15"/>
    </row>
    <row r="426" spans="3:3" x14ac:dyDescent="0.25">
      <c r="C426" s="15"/>
    </row>
    <row r="427" spans="3:3" x14ac:dyDescent="0.25">
      <c r="C427" s="15"/>
    </row>
    <row r="428" spans="3:3" x14ac:dyDescent="0.25">
      <c r="C428" s="15"/>
    </row>
    <row r="429" spans="3:3" x14ac:dyDescent="0.25">
      <c r="C429" s="15"/>
    </row>
    <row r="430" spans="3:3" x14ac:dyDescent="0.25">
      <c r="C430" s="15"/>
    </row>
    <row r="431" spans="3:3" x14ac:dyDescent="0.25">
      <c r="C431" s="15"/>
    </row>
    <row r="432" spans="3:3" x14ac:dyDescent="0.25">
      <c r="C432" s="15"/>
    </row>
    <row r="433" spans="3:3" x14ac:dyDescent="0.25">
      <c r="C433" s="15"/>
    </row>
    <row r="434" spans="3:3" x14ac:dyDescent="0.25">
      <c r="C434" s="15"/>
    </row>
    <row r="435" spans="3:3" x14ac:dyDescent="0.25">
      <c r="C435" s="15"/>
    </row>
    <row r="436" spans="3:3" x14ac:dyDescent="0.25">
      <c r="C436" s="15"/>
    </row>
    <row r="437" spans="3:3" x14ac:dyDescent="0.25">
      <c r="C437" s="15"/>
    </row>
    <row r="438" spans="3:3" x14ac:dyDescent="0.25">
      <c r="C438" s="15"/>
    </row>
    <row r="439" spans="3:3" x14ac:dyDescent="0.25">
      <c r="C439" s="15"/>
    </row>
    <row r="440" spans="3:3" x14ac:dyDescent="0.25">
      <c r="C440" s="15"/>
    </row>
    <row r="441" spans="3:3" x14ac:dyDescent="0.25">
      <c r="C441" s="15"/>
    </row>
    <row r="442" spans="3:3" x14ac:dyDescent="0.25">
      <c r="C442" s="15"/>
    </row>
    <row r="443" spans="3:3" x14ac:dyDescent="0.25">
      <c r="C443" s="15"/>
    </row>
    <row r="444" spans="3:3" x14ac:dyDescent="0.25">
      <c r="C444" s="15"/>
    </row>
    <row r="445" spans="3:3" x14ac:dyDescent="0.25">
      <c r="C445" s="15"/>
    </row>
    <row r="446" spans="3:3" x14ac:dyDescent="0.25">
      <c r="C446" s="15"/>
    </row>
    <row r="447" spans="3:3" x14ac:dyDescent="0.25">
      <c r="C447" s="15"/>
    </row>
    <row r="448" spans="3:3" x14ac:dyDescent="0.25">
      <c r="C448" s="15"/>
    </row>
    <row r="449" spans="3:3" x14ac:dyDescent="0.25">
      <c r="C449" s="15"/>
    </row>
    <row r="450" spans="3:3" x14ac:dyDescent="0.25">
      <c r="C450" s="15"/>
    </row>
    <row r="451" spans="3:3" x14ac:dyDescent="0.25">
      <c r="C451" s="15"/>
    </row>
    <row r="452" spans="3:3" x14ac:dyDescent="0.25">
      <c r="C452" s="15"/>
    </row>
    <row r="453" spans="3:3" x14ac:dyDescent="0.25">
      <c r="C453" s="15"/>
    </row>
    <row r="454" spans="3:3" x14ac:dyDescent="0.25">
      <c r="C454" s="15"/>
    </row>
    <row r="455" spans="3:3" x14ac:dyDescent="0.25">
      <c r="C455" s="15"/>
    </row>
    <row r="456" spans="3:3" x14ac:dyDescent="0.25">
      <c r="C456" s="15"/>
    </row>
    <row r="457" spans="3:3" x14ac:dyDescent="0.25">
      <c r="C457" s="15"/>
    </row>
    <row r="458" spans="3:3" x14ac:dyDescent="0.25">
      <c r="C458" s="15"/>
    </row>
    <row r="459" spans="3:3" x14ac:dyDescent="0.25">
      <c r="C459" s="15"/>
    </row>
    <row r="460" spans="3:3" x14ac:dyDescent="0.25">
      <c r="C460" s="15"/>
    </row>
    <row r="461" spans="3:3" x14ac:dyDescent="0.25">
      <c r="C461" s="15"/>
    </row>
    <row r="462" spans="3:3" x14ac:dyDescent="0.25">
      <c r="C462" s="15"/>
    </row>
    <row r="463" spans="3:3" x14ac:dyDescent="0.25">
      <c r="C463" s="15"/>
    </row>
    <row r="464" spans="3:3" x14ac:dyDescent="0.25">
      <c r="C464" s="15"/>
    </row>
    <row r="465" spans="3:3" x14ac:dyDescent="0.25">
      <c r="C465" s="15"/>
    </row>
    <row r="466" spans="3:3" x14ac:dyDescent="0.25">
      <c r="C466" s="15"/>
    </row>
    <row r="467" spans="3:3" x14ac:dyDescent="0.25">
      <c r="C467" s="15"/>
    </row>
    <row r="468" spans="3:3" x14ac:dyDescent="0.25">
      <c r="C468" s="15"/>
    </row>
    <row r="469" spans="3:3" x14ac:dyDescent="0.25">
      <c r="C469" s="15"/>
    </row>
    <row r="470" spans="3:3" x14ac:dyDescent="0.25">
      <c r="C470" s="15"/>
    </row>
    <row r="471" spans="3:3" x14ac:dyDescent="0.25">
      <c r="C471" s="15"/>
    </row>
    <row r="472" spans="3:3" x14ac:dyDescent="0.25">
      <c r="C472" s="15"/>
    </row>
    <row r="473" spans="3:3" x14ac:dyDescent="0.25">
      <c r="C473" s="15"/>
    </row>
    <row r="474" spans="3:3" x14ac:dyDescent="0.25">
      <c r="C474" s="15"/>
    </row>
    <row r="475" spans="3:3" x14ac:dyDescent="0.25">
      <c r="C475" s="15"/>
    </row>
    <row r="476" spans="3:3" x14ac:dyDescent="0.25">
      <c r="C476" s="15"/>
    </row>
    <row r="477" spans="3:3" x14ac:dyDescent="0.25">
      <c r="C477" s="15"/>
    </row>
    <row r="478" spans="3:3" x14ac:dyDescent="0.25">
      <c r="C478" s="15"/>
    </row>
    <row r="479" spans="3:3" x14ac:dyDescent="0.25">
      <c r="C479" s="15"/>
    </row>
    <row r="480" spans="3:3" x14ac:dyDescent="0.25">
      <c r="C480" s="15"/>
    </row>
    <row r="481" spans="3:3" x14ac:dyDescent="0.25">
      <c r="C481" s="15"/>
    </row>
    <row r="482" spans="3:3" x14ac:dyDescent="0.25">
      <c r="C482" s="15"/>
    </row>
    <row r="483" spans="3:3" x14ac:dyDescent="0.25">
      <c r="C483" s="15"/>
    </row>
    <row r="484" spans="3:3" x14ac:dyDescent="0.25">
      <c r="C484" s="15"/>
    </row>
    <row r="485" spans="3:3" x14ac:dyDescent="0.25">
      <c r="C485" s="15"/>
    </row>
    <row r="486" spans="3:3" x14ac:dyDescent="0.25">
      <c r="C486" s="15"/>
    </row>
    <row r="487" spans="3:3" x14ac:dyDescent="0.25">
      <c r="C487" s="15"/>
    </row>
    <row r="488" spans="3:3" x14ac:dyDescent="0.25">
      <c r="C488" s="15"/>
    </row>
    <row r="489" spans="3:3" x14ac:dyDescent="0.25">
      <c r="C489" s="15"/>
    </row>
    <row r="490" spans="3:3" x14ac:dyDescent="0.25">
      <c r="C490" s="15"/>
    </row>
    <row r="491" spans="3:3" x14ac:dyDescent="0.25">
      <c r="C491" s="15"/>
    </row>
    <row r="492" spans="3:3" x14ac:dyDescent="0.25">
      <c r="C492" s="15"/>
    </row>
    <row r="493" spans="3:3" x14ac:dyDescent="0.25">
      <c r="C493" s="15"/>
    </row>
    <row r="494" spans="3:3" x14ac:dyDescent="0.25">
      <c r="C494" s="15"/>
    </row>
    <row r="495" spans="3:3" x14ac:dyDescent="0.25">
      <c r="C495" s="15"/>
    </row>
    <row r="496" spans="3:3" x14ac:dyDescent="0.25">
      <c r="C496" s="15"/>
    </row>
    <row r="497" spans="3:3" x14ac:dyDescent="0.25">
      <c r="C497" s="15"/>
    </row>
    <row r="498" spans="3:3" x14ac:dyDescent="0.25">
      <c r="C498" s="15"/>
    </row>
    <row r="499" spans="3:3" x14ac:dyDescent="0.25">
      <c r="C499" s="15"/>
    </row>
    <row r="500" spans="3:3" x14ac:dyDescent="0.25">
      <c r="C500" s="15"/>
    </row>
    <row r="501" spans="3:3" x14ac:dyDescent="0.25">
      <c r="C501" s="15"/>
    </row>
    <row r="502" spans="3:3" x14ac:dyDescent="0.25">
      <c r="C502" s="15"/>
    </row>
    <row r="503" spans="3:3" x14ac:dyDescent="0.25">
      <c r="C503" s="15"/>
    </row>
    <row r="504" spans="3:3" x14ac:dyDescent="0.25">
      <c r="C504" s="15"/>
    </row>
    <row r="505" spans="3:3" x14ac:dyDescent="0.25">
      <c r="C505" s="15"/>
    </row>
    <row r="506" spans="3:3" x14ac:dyDescent="0.25">
      <c r="C506" s="15"/>
    </row>
    <row r="507" spans="3:3" x14ac:dyDescent="0.25">
      <c r="C507" s="15"/>
    </row>
    <row r="508" spans="3:3" x14ac:dyDescent="0.25">
      <c r="C508" s="15"/>
    </row>
    <row r="509" spans="3:3" x14ac:dyDescent="0.25">
      <c r="C509" s="15"/>
    </row>
    <row r="510" spans="3:3" x14ac:dyDescent="0.25">
      <c r="C510" s="15"/>
    </row>
    <row r="511" spans="3:3" x14ac:dyDescent="0.25">
      <c r="C511" s="15"/>
    </row>
    <row r="512" spans="3:3" x14ac:dyDescent="0.25">
      <c r="C512" s="15"/>
    </row>
    <row r="513" spans="3:3" x14ac:dyDescent="0.25">
      <c r="C513" s="15"/>
    </row>
    <row r="514" spans="3:3" x14ac:dyDescent="0.25">
      <c r="C514" s="15"/>
    </row>
    <row r="515" spans="3:3" x14ac:dyDescent="0.25">
      <c r="C515" s="15"/>
    </row>
    <row r="516" spans="3:3" x14ac:dyDescent="0.25">
      <c r="C516" s="15"/>
    </row>
    <row r="517" spans="3:3" x14ac:dyDescent="0.25">
      <c r="C517" s="15"/>
    </row>
    <row r="518" spans="3:3" x14ac:dyDescent="0.25">
      <c r="C518" s="15"/>
    </row>
    <row r="519" spans="3:3" x14ac:dyDescent="0.25">
      <c r="C519" s="15"/>
    </row>
    <row r="520" spans="3:3" x14ac:dyDescent="0.25">
      <c r="C520" s="15"/>
    </row>
    <row r="521" spans="3:3" x14ac:dyDescent="0.25">
      <c r="C521" s="15"/>
    </row>
    <row r="522" spans="3:3" x14ac:dyDescent="0.25">
      <c r="C522" s="15"/>
    </row>
    <row r="523" spans="3:3" x14ac:dyDescent="0.25">
      <c r="C523" s="15"/>
    </row>
    <row r="524" spans="3:3" x14ac:dyDescent="0.25">
      <c r="C524" s="15"/>
    </row>
    <row r="525" spans="3:3" x14ac:dyDescent="0.25">
      <c r="C525" s="15"/>
    </row>
    <row r="526" spans="3:3" x14ac:dyDescent="0.25">
      <c r="C526" s="15"/>
    </row>
    <row r="527" spans="3:3" x14ac:dyDescent="0.25">
      <c r="C527" s="15"/>
    </row>
    <row r="528" spans="3:3" x14ac:dyDescent="0.25">
      <c r="C528" s="15"/>
    </row>
    <row r="529" spans="3:3" x14ac:dyDescent="0.25">
      <c r="C529" s="15"/>
    </row>
    <row r="530" spans="3:3" x14ac:dyDescent="0.25">
      <c r="C530" s="15"/>
    </row>
    <row r="531" spans="3:3" x14ac:dyDescent="0.25">
      <c r="C531" s="15"/>
    </row>
    <row r="532" spans="3:3" x14ac:dyDescent="0.25">
      <c r="C532" s="15"/>
    </row>
    <row r="533" spans="3:3" x14ac:dyDescent="0.25">
      <c r="C533" s="15"/>
    </row>
    <row r="534" spans="3:3" x14ac:dyDescent="0.25">
      <c r="C534" s="15"/>
    </row>
    <row r="535" spans="3:3" x14ac:dyDescent="0.25">
      <c r="C535" s="15"/>
    </row>
    <row r="536" spans="3:3" x14ac:dyDescent="0.25">
      <c r="C536" s="15"/>
    </row>
    <row r="537" spans="3:3" x14ac:dyDescent="0.25">
      <c r="C537" s="15"/>
    </row>
    <row r="538" spans="3:3" x14ac:dyDescent="0.25">
      <c r="C538" s="15"/>
    </row>
    <row r="539" spans="3:3" x14ac:dyDescent="0.25">
      <c r="C539" s="15"/>
    </row>
    <row r="540" spans="3:3" x14ac:dyDescent="0.25">
      <c r="C540" s="15"/>
    </row>
    <row r="541" spans="3:3" x14ac:dyDescent="0.25">
      <c r="C541" s="15"/>
    </row>
    <row r="542" spans="3:3" x14ac:dyDescent="0.25">
      <c r="C542" s="15"/>
    </row>
    <row r="543" spans="3:3" x14ac:dyDescent="0.25">
      <c r="C543" s="15"/>
    </row>
    <row r="544" spans="3:3" x14ac:dyDescent="0.25">
      <c r="C544" s="15"/>
    </row>
    <row r="545" spans="3:3" x14ac:dyDescent="0.25">
      <c r="C545" s="15"/>
    </row>
    <row r="546" spans="3:3" x14ac:dyDescent="0.25">
      <c r="C546" s="15"/>
    </row>
    <row r="547" spans="3:3" x14ac:dyDescent="0.25">
      <c r="C547" s="15"/>
    </row>
    <row r="548" spans="3:3" x14ac:dyDescent="0.25">
      <c r="C548" s="15"/>
    </row>
    <row r="549" spans="3:3" x14ac:dyDescent="0.25">
      <c r="C549" s="15"/>
    </row>
    <row r="550" spans="3:3" x14ac:dyDescent="0.25">
      <c r="C550" s="15"/>
    </row>
    <row r="551" spans="3:3" x14ac:dyDescent="0.25">
      <c r="C551" s="15"/>
    </row>
    <row r="552" spans="3:3" x14ac:dyDescent="0.25">
      <c r="C552" s="15"/>
    </row>
    <row r="553" spans="3:3" x14ac:dyDescent="0.25">
      <c r="C553" s="15"/>
    </row>
    <row r="554" spans="3:3" x14ac:dyDescent="0.25">
      <c r="C554" s="15"/>
    </row>
    <row r="555" spans="3:3" x14ac:dyDescent="0.25">
      <c r="C555" s="15"/>
    </row>
    <row r="556" spans="3:3" x14ac:dyDescent="0.25">
      <c r="C556" s="15"/>
    </row>
    <row r="557" spans="3:3" x14ac:dyDescent="0.25">
      <c r="C557" s="15"/>
    </row>
    <row r="558" spans="3:3" x14ac:dyDescent="0.25">
      <c r="C558" s="15"/>
    </row>
    <row r="559" spans="3:3" x14ac:dyDescent="0.25">
      <c r="C559" s="15"/>
    </row>
    <row r="560" spans="3:3" x14ac:dyDescent="0.25">
      <c r="C560" s="15"/>
    </row>
    <row r="561" spans="3:3" x14ac:dyDescent="0.25">
      <c r="C561" s="15"/>
    </row>
    <row r="562" spans="3:3" x14ac:dyDescent="0.25">
      <c r="C562" s="15"/>
    </row>
    <row r="563" spans="3:3" x14ac:dyDescent="0.25">
      <c r="C563" s="15"/>
    </row>
    <row r="564" spans="3:3" x14ac:dyDescent="0.25">
      <c r="C564" s="15"/>
    </row>
    <row r="565" spans="3:3" x14ac:dyDescent="0.25">
      <c r="C565" s="15"/>
    </row>
    <row r="566" spans="3:3" x14ac:dyDescent="0.25">
      <c r="C566" s="15"/>
    </row>
    <row r="567" spans="3:3" x14ac:dyDescent="0.25">
      <c r="C567" s="15"/>
    </row>
    <row r="568" spans="3:3" x14ac:dyDescent="0.25">
      <c r="C568" s="15"/>
    </row>
    <row r="569" spans="3:3" x14ac:dyDescent="0.25">
      <c r="C569" s="15"/>
    </row>
    <row r="570" spans="3:3" x14ac:dyDescent="0.25">
      <c r="C570" s="15"/>
    </row>
    <row r="571" spans="3:3" x14ac:dyDescent="0.25">
      <c r="C571" s="15"/>
    </row>
    <row r="572" spans="3:3" x14ac:dyDescent="0.25">
      <c r="C572" s="15"/>
    </row>
    <row r="573" spans="3:3" x14ac:dyDescent="0.25">
      <c r="C573" s="15"/>
    </row>
    <row r="574" spans="3:3" x14ac:dyDescent="0.25">
      <c r="C574" s="15"/>
    </row>
    <row r="575" spans="3:3" x14ac:dyDescent="0.25">
      <c r="C575" s="15"/>
    </row>
    <row r="576" spans="3:3" x14ac:dyDescent="0.25">
      <c r="C576" s="15"/>
    </row>
    <row r="577" spans="3:3" x14ac:dyDescent="0.25">
      <c r="C577" s="15"/>
    </row>
    <row r="578" spans="3:3" x14ac:dyDescent="0.25">
      <c r="C578" s="15"/>
    </row>
    <row r="579" spans="3:3" x14ac:dyDescent="0.25">
      <c r="C579" s="15"/>
    </row>
    <row r="580" spans="3:3" x14ac:dyDescent="0.25">
      <c r="C580" s="15"/>
    </row>
    <row r="581" spans="3:3" x14ac:dyDescent="0.25">
      <c r="C581" s="15"/>
    </row>
    <row r="582" spans="3:3" x14ac:dyDescent="0.25">
      <c r="C582" s="15"/>
    </row>
    <row r="583" spans="3:3" x14ac:dyDescent="0.25">
      <c r="C583" s="15"/>
    </row>
    <row r="584" spans="3:3" x14ac:dyDescent="0.25">
      <c r="C584" s="15"/>
    </row>
    <row r="585" spans="3:3" x14ac:dyDescent="0.25">
      <c r="C585" s="15"/>
    </row>
    <row r="586" spans="3:3" x14ac:dyDescent="0.25">
      <c r="C586" s="15"/>
    </row>
    <row r="587" spans="3:3" x14ac:dyDescent="0.25">
      <c r="C587" s="15"/>
    </row>
    <row r="588" spans="3:3" x14ac:dyDescent="0.25">
      <c r="C588" s="15"/>
    </row>
    <row r="589" spans="3:3" x14ac:dyDescent="0.25">
      <c r="C589" s="15"/>
    </row>
    <row r="590" spans="3:3" x14ac:dyDescent="0.25">
      <c r="C590" s="15"/>
    </row>
    <row r="591" spans="3:3" x14ac:dyDescent="0.25">
      <c r="C591" s="15"/>
    </row>
    <row r="592" spans="3:3" x14ac:dyDescent="0.25">
      <c r="C592" s="15"/>
    </row>
    <row r="593" spans="3:3" x14ac:dyDescent="0.25">
      <c r="C593" s="15"/>
    </row>
    <row r="594" spans="3:3" x14ac:dyDescent="0.25">
      <c r="C594" s="15"/>
    </row>
    <row r="595" spans="3:3" x14ac:dyDescent="0.25">
      <c r="C595" s="15"/>
    </row>
    <row r="596" spans="3:3" x14ac:dyDescent="0.25">
      <c r="C596" s="15"/>
    </row>
    <row r="597" spans="3:3" x14ac:dyDescent="0.25">
      <c r="C597" s="15"/>
    </row>
    <row r="598" spans="3:3" x14ac:dyDescent="0.25">
      <c r="C598" s="15"/>
    </row>
    <row r="599" spans="3:3" x14ac:dyDescent="0.25">
      <c r="C599" s="15"/>
    </row>
    <row r="600" spans="3:3" x14ac:dyDescent="0.25">
      <c r="C600" s="15"/>
    </row>
    <row r="601" spans="3:3" x14ac:dyDescent="0.25">
      <c r="C601" s="15"/>
    </row>
    <row r="602" spans="3:3" x14ac:dyDescent="0.25">
      <c r="C602" s="15"/>
    </row>
    <row r="603" spans="3:3" x14ac:dyDescent="0.25">
      <c r="C603" s="15"/>
    </row>
    <row r="604" spans="3:3" x14ac:dyDescent="0.25">
      <c r="C604" s="15"/>
    </row>
    <row r="605" spans="3:3" x14ac:dyDescent="0.25">
      <c r="C605" s="15"/>
    </row>
    <row r="606" spans="3:3" x14ac:dyDescent="0.25">
      <c r="C606" s="15"/>
    </row>
    <row r="607" spans="3:3" x14ac:dyDescent="0.25">
      <c r="C607" s="15"/>
    </row>
    <row r="608" spans="3:3" x14ac:dyDescent="0.25">
      <c r="C608" s="15"/>
    </row>
    <row r="609" spans="3:3" x14ac:dyDescent="0.25">
      <c r="C609" s="15"/>
    </row>
    <row r="610" spans="3:3" x14ac:dyDescent="0.25">
      <c r="C610" s="15"/>
    </row>
    <row r="611" spans="3:3" x14ac:dyDescent="0.25">
      <c r="C611" s="15"/>
    </row>
    <row r="612" spans="3:3" x14ac:dyDescent="0.25">
      <c r="C612" s="15"/>
    </row>
    <row r="613" spans="3:3" x14ac:dyDescent="0.25">
      <c r="C613" s="15"/>
    </row>
    <row r="614" spans="3:3" x14ac:dyDescent="0.25">
      <c r="C614" s="15"/>
    </row>
    <row r="615" spans="3:3" x14ac:dyDescent="0.25">
      <c r="C615" s="15"/>
    </row>
    <row r="616" spans="3:3" x14ac:dyDescent="0.25">
      <c r="C616" s="15"/>
    </row>
    <row r="617" spans="3:3" x14ac:dyDescent="0.25">
      <c r="C617" s="15"/>
    </row>
    <row r="618" spans="3:3" x14ac:dyDescent="0.25">
      <c r="C618" s="15"/>
    </row>
    <row r="619" spans="3:3" x14ac:dyDescent="0.25">
      <c r="C619" s="15"/>
    </row>
    <row r="620" spans="3:3" x14ac:dyDescent="0.25">
      <c r="C620" s="15"/>
    </row>
    <row r="621" spans="3:3" x14ac:dyDescent="0.25">
      <c r="C621" s="15"/>
    </row>
    <row r="622" spans="3:3" x14ac:dyDescent="0.25">
      <c r="C622" s="15"/>
    </row>
    <row r="623" spans="3:3" x14ac:dyDescent="0.25">
      <c r="C623" s="15"/>
    </row>
    <row r="624" spans="3:3" x14ac:dyDescent="0.25">
      <c r="C624" s="15"/>
    </row>
    <row r="625" spans="3:3" x14ac:dyDescent="0.25">
      <c r="C625" s="15"/>
    </row>
    <row r="626" spans="3:3" x14ac:dyDescent="0.25">
      <c r="C626" s="15"/>
    </row>
    <row r="627" spans="3:3" x14ac:dyDescent="0.25">
      <c r="C627" s="15"/>
    </row>
    <row r="628" spans="3:3" x14ac:dyDescent="0.25">
      <c r="C628" s="15"/>
    </row>
    <row r="629" spans="3:3" x14ac:dyDescent="0.25">
      <c r="C629" s="15"/>
    </row>
    <row r="630" spans="3:3" x14ac:dyDescent="0.25">
      <c r="C630" s="15"/>
    </row>
    <row r="631" spans="3:3" x14ac:dyDescent="0.25">
      <c r="C631" s="15"/>
    </row>
    <row r="632" spans="3:3" x14ac:dyDescent="0.25">
      <c r="C632" s="15"/>
    </row>
    <row r="633" spans="3:3" x14ac:dyDescent="0.25">
      <c r="C633" s="15"/>
    </row>
    <row r="634" spans="3:3" x14ac:dyDescent="0.25">
      <c r="C634" s="15"/>
    </row>
    <row r="635" spans="3:3" x14ac:dyDescent="0.25">
      <c r="C635" s="15"/>
    </row>
    <row r="636" spans="3:3" x14ac:dyDescent="0.25">
      <c r="C636" s="15"/>
    </row>
    <row r="637" spans="3:3" x14ac:dyDescent="0.25">
      <c r="C637" s="15"/>
    </row>
    <row r="638" spans="3:3" x14ac:dyDescent="0.25">
      <c r="C638" s="15"/>
    </row>
    <row r="639" spans="3:3" x14ac:dyDescent="0.25">
      <c r="C639" s="15"/>
    </row>
    <row r="640" spans="3:3" x14ac:dyDescent="0.25">
      <c r="C640" s="15"/>
    </row>
    <row r="641" spans="3:3" x14ac:dyDescent="0.25">
      <c r="C641" s="15"/>
    </row>
    <row r="642" spans="3:3" x14ac:dyDescent="0.25">
      <c r="C642" s="15"/>
    </row>
    <row r="643" spans="3:3" x14ac:dyDescent="0.25">
      <c r="C643" s="15"/>
    </row>
    <row r="644" spans="3:3" x14ac:dyDescent="0.25">
      <c r="C644" s="15"/>
    </row>
    <row r="645" spans="3:3" x14ac:dyDescent="0.25">
      <c r="C645" s="15"/>
    </row>
    <row r="646" spans="3:3" x14ac:dyDescent="0.25">
      <c r="C646" s="15"/>
    </row>
    <row r="647" spans="3:3" x14ac:dyDescent="0.25">
      <c r="C647" s="15"/>
    </row>
    <row r="648" spans="3:3" x14ac:dyDescent="0.25">
      <c r="C648" s="15"/>
    </row>
    <row r="649" spans="3:3" x14ac:dyDescent="0.25">
      <c r="C649" s="15"/>
    </row>
    <row r="650" spans="3:3" x14ac:dyDescent="0.25">
      <c r="C650" s="15"/>
    </row>
    <row r="651" spans="3:3" x14ac:dyDescent="0.25">
      <c r="C651" s="15"/>
    </row>
    <row r="652" spans="3:3" x14ac:dyDescent="0.25">
      <c r="C652" s="15"/>
    </row>
    <row r="653" spans="3:3" x14ac:dyDescent="0.25">
      <c r="C653" s="15"/>
    </row>
    <row r="654" spans="3:3" x14ac:dyDescent="0.25">
      <c r="C654" s="15"/>
    </row>
    <row r="655" spans="3:3" x14ac:dyDescent="0.25">
      <c r="C655" s="15"/>
    </row>
    <row r="656" spans="3:3" x14ac:dyDescent="0.25">
      <c r="C656" s="15"/>
    </row>
    <row r="657" spans="3:3" x14ac:dyDescent="0.25">
      <c r="C657" s="15"/>
    </row>
    <row r="658" spans="3:3" x14ac:dyDescent="0.25">
      <c r="C658" s="15"/>
    </row>
    <row r="659" spans="3:3" x14ac:dyDescent="0.25">
      <c r="C659" s="15"/>
    </row>
    <row r="660" spans="3:3" x14ac:dyDescent="0.25">
      <c r="C660" s="15"/>
    </row>
    <row r="661" spans="3:3" x14ac:dyDescent="0.25">
      <c r="C661" s="15"/>
    </row>
    <row r="662" spans="3:3" x14ac:dyDescent="0.25">
      <c r="C662" s="15"/>
    </row>
    <row r="663" spans="3:3" x14ac:dyDescent="0.25">
      <c r="C663" s="15"/>
    </row>
    <row r="664" spans="3:3" x14ac:dyDescent="0.25">
      <c r="C664" s="15"/>
    </row>
    <row r="665" spans="3:3" x14ac:dyDescent="0.25">
      <c r="C665" s="15"/>
    </row>
    <row r="666" spans="3:3" x14ac:dyDescent="0.25">
      <c r="C666" s="15"/>
    </row>
    <row r="667" spans="3:3" x14ac:dyDescent="0.25">
      <c r="C667" s="15"/>
    </row>
    <row r="668" spans="3:3" x14ac:dyDescent="0.25">
      <c r="C668" s="15"/>
    </row>
    <row r="669" spans="3:3" x14ac:dyDescent="0.25">
      <c r="C669" s="15"/>
    </row>
    <row r="670" spans="3:3" x14ac:dyDescent="0.25">
      <c r="C670" s="15"/>
    </row>
    <row r="671" spans="3:3" x14ac:dyDescent="0.25">
      <c r="C671" s="15"/>
    </row>
    <row r="672" spans="3:3" x14ac:dyDescent="0.25">
      <c r="C672" s="15"/>
    </row>
    <row r="673" spans="3:3" x14ac:dyDescent="0.25">
      <c r="C673" s="15"/>
    </row>
    <row r="674" spans="3:3" x14ac:dyDescent="0.25">
      <c r="C674" s="15"/>
    </row>
    <row r="675" spans="3:3" x14ac:dyDescent="0.25">
      <c r="C675" s="15"/>
    </row>
    <row r="676" spans="3:3" x14ac:dyDescent="0.25">
      <c r="C676" s="15"/>
    </row>
    <row r="677" spans="3:3" x14ac:dyDescent="0.25">
      <c r="C677" s="15"/>
    </row>
    <row r="678" spans="3:3" x14ac:dyDescent="0.25">
      <c r="C678" s="15"/>
    </row>
    <row r="679" spans="3:3" x14ac:dyDescent="0.25">
      <c r="C679" s="15"/>
    </row>
    <row r="680" spans="3:3" x14ac:dyDescent="0.25">
      <c r="C680" s="15"/>
    </row>
    <row r="681" spans="3:3" x14ac:dyDescent="0.25">
      <c r="C681" s="15"/>
    </row>
    <row r="682" spans="3:3" x14ac:dyDescent="0.25">
      <c r="C682" s="15"/>
    </row>
    <row r="683" spans="3:3" x14ac:dyDescent="0.25">
      <c r="C683" s="15"/>
    </row>
    <row r="684" spans="3:3" x14ac:dyDescent="0.25">
      <c r="C684" s="15"/>
    </row>
    <row r="685" spans="3:3" x14ac:dyDescent="0.25">
      <c r="C685" s="15"/>
    </row>
    <row r="686" spans="3:3" x14ac:dyDescent="0.25">
      <c r="C686" s="15"/>
    </row>
    <row r="687" spans="3:3" x14ac:dyDescent="0.25">
      <c r="C687" s="15"/>
    </row>
    <row r="688" spans="3:3" x14ac:dyDescent="0.25">
      <c r="C688" s="15"/>
    </row>
    <row r="689" spans="3:3" x14ac:dyDescent="0.25">
      <c r="C689" s="15"/>
    </row>
    <row r="690" spans="3:3" x14ac:dyDescent="0.25">
      <c r="C690" s="15"/>
    </row>
    <row r="691" spans="3:3" x14ac:dyDescent="0.25">
      <c r="C691" s="15"/>
    </row>
    <row r="692" spans="3:3" x14ac:dyDescent="0.25">
      <c r="C692" s="15"/>
    </row>
    <row r="693" spans="3:3" x14ac:dyDescent="0.25">
      <c r="C693" s="15"/>
    </row>
    <row r="694" spans="3:3" x14ac:dyDescent="0.25">
      <c r="C694" s="15"/>
    </row>
    <row r="695" spans="3:3" x14ac:dyDescent="0.25">
      <c r="C695" s="15"/>
    </row>
    <row r="696" spans="3:3" x14ac:dyDescent="0.25">
      <c r="C696" s="15"/>
    </row>
    <row r="697" spans="3:3" x14ac:dyDescent="0.25">
      <c r="C697" s="15"/>
    </row>
    <row r="698" spans="3:3" x14ac:dyDescent="0.25">
      <c r="C698" s="15"/>
    </row>
    <row r="699" spans="3:3" x14ac:dyDescent="0.25">
      <c r="C699" s="15"/>
    </row>
    <row r="700" spans="3:3" x14ac:dyDescent="0.25">
      <c r="C700" s="15"/>
    </row>
    <row r="701" spans="3:3" x14ac:dyDescent="0.25">
      <c r="C701" s="15"/>
    </row>
    <row r="702" spans="3:3" x14ac:dyDescent="0.25">
      <c r="C702" s="15"/>
    </row>
    <row r="703" spans="3:3" x14ac:dyDescent="0.25">
      <c r="C703" s="15"/>
    </row>
    <row r="704" spans="3:3" x14ac:dyDescent="0.25">
      <c r="C704" s="15"/>
    </row>
    <row r="705" spans="3:3" x14ac:dyDescent="0.25">
      <c r="C705" s="15"/>
    </row>
    <row r="706" spans="3:3" x14ac:dyDescent="0.25">
      <c r="C706" s="15"/>
    </row>
    <row r="707" spans="3:3" x14ac:dyDescent="0.25">
      <c r="C707" s="15"/>
    </row>
    <row r="708" spans="3:3" x14ac:dyDescent="0.25">
      <c r="C708" s="15"/>
    </row>
    <row r="709" spans="3:3" x14ac:dyDescent="0.25">
      <c r="C709" s="15"/>
    </row>
    <row r="710" spans="3:3" x14ac:dyDescent="0.25">
      <c r="C710" s="15"/>
    </row>
    <row r="711" spans="3:3" x14ac:dyDescent="0.25">
      <c r="C711" s="15"/>
    </row>
    <row r="712" spans="3:3" x14ac:dyDescent="0.25">
      <c r="C712" s="15"/>
    </row>
    <row r="713" spans="3:3" x14ac:dyDescent="0.25">
      <c r="C713" s="15"/>
    </row>
    <row r="714" spans="3:3" x14ac:dyDescent="0.25">
      <c r="C714" s="15"/>
    </row>
    <row r="715" spans="3:3" x14ac:dyDescent="0.25">
      <c r="C715" s="15"/>
    </row>
    <row r="716" spans="3:3" x14ac:dyDescent="0.25">
      <c r="C716" s="15"/>
    </row>
    <row r="717" spans="3:3" x14ac:dyDescent="0.25">
      <c r="C717" s="15"/>
    </row>
    <row r="718" spans="3:3" x14ac:dyDescent="0.25">
      <c r="C718" s="15"/>
    </row>
    <row r="719" spans="3:3" x14ac:dyDescent="0.25">
      <c r="C719" s="15"/>
    </row>
    <row r="720" spans="3:3" x14ac:dyDescent="0.25">
      <c r="C720" s="15"/>
    </row>
    <row r="721" spans="3:3" x14ac:dyDescent="0.25">
      <c r="C721" s="15"/>
    </row>
    <row r="722" spans="3:3" x14ac:dyDescent="0.25">
      <c r="C722" s="15"/>
    </row>
    <row r="723" spans="3:3" x14ac:dyDescent="0.25">
      <c r="C723" s="15"/>
    </row>
    <row r="724" spans="3:3" x14ac:dyDescent="0.25">
      <c r="C724" s="15"/>
    </row>
    <row r="725" spans="3:3" x14ac:dyDescent="0.25">
      <c r="C725" s="15"/>
    </row>
    <row r="726" spans="3:3" x14ac:dyDescent="0.25">
      <c r="C726" s="15"/>
    </row>
    <row r="727" spans="3:3" x14ac:dyDescent="0.25">
      <c r="C727" s="15"/>
    </row>
    <row r="728" spans="3:3" x14ac:dyDescent="0.25">
      <c r="C728" s="15"/>
    </row>
    <row r="729" spans="3:3" x14ac:dyDescent="0.25">
      <c r="C729" s="15"/>
    </row>
    <row r="730" spans="3:3" x14ac:dyDescent="0.25">
      <c r="C730" s="15"/>
    </row>
    <row r="731" spans="3:3" x14ac:dyDescent="0.25">
      <c r="C731" s="15"/>
    </row>
    <row r="732" spans="3:3" x14ac:dyDescent="0.25">
      <c r="C732" s="15"/>
    </row>
    <row r="733" spans="3:3" x14ac:dyDescent="0.25">
      <c r="C733" s="15"/>
    </row>
    <row r="734" spans="3:3" x14ac:dyDescent="0.25">
      <c r="C734" s="15"/>
    </row>
    <row r="735" spans="3:3" x14ac:dyDescent="0.25">
      <c r="C735" s="15"/>
    </row>
    <row r="736" spans="3:3" x14ac:dyDescent="0.25">
      <c r="C736" s="15"/>
    </row>
    <row r="737" spans="3:3" x14ac:dyDescent="0.25">
      <c r="C737" s="15"/>
    </row>
    <row r="738" spans="3:3" x14ac:dyDescent="0.25">
      <c r="C738" s="15"/>
    </row>
    <row r="739" spans="3:3" x14ac:dyDescent="0.25">
      <c r="C739" s="15"/>
    </row>
    <row r="740" spans="3:3" x14ac:dyDescent="0.25">
      <c r="C740" s="15"/>
    </row>
    <row r="741" spans="3:3" x14ac:dyDescent="0.25">
      <c r="C741" s="15"/>
    </row>
    <row r="742" spans="3:3" x14ac:dyDescent="0.25">
      <c r="C742" s="15"/>
    </row>
    <row r="743" spans="3:3" x14ac:dyDescent="0.25">
      <c r="C743" s="15"/>
    </row>
    <row r="744" spans="3:3" x14ac:dyDescent="0.25">
      <c r="C744" s="15"/>
    </row>
    <row r="745" spans="3:3" x14ac:dyDescent="0.25">
      <c r="C745" s="15"/>
    </row>
    <row r="746" spans="3:3" x14ac:dyDescent="0.25">
      <c r="C746" s="15"/>
    </row>
    <row r="747" spans="3:3" x14ac:dyDescent="0.25">
      <c r="C747" s="15"/>
    </row>
    <row r="748" spans="3:3" x14ac:dyDescent="0.25">
      <c r="C748" s="15"/>
    </row>
    <row r="749" spans="3:3" x14ac:dyDescent="0.25">
      <c r="C749" s="15"/>
    </row>
    <row r="750" spans="3:3" x14ac:dyDescent="0.25">
      <c r="C750" s="15"/>
    </row>
    <row r="751" spans="3:3" x14ac:dyDescent="0.25">
      <c r="C751" s="15"/>
    </row>
    <row r="752" spans="3:3" x14ac:dyDescent="0.25">
      <c r="C752" s="15"/>
    </row>
    <row r="753" spans="3:3" x14ac:dyDescent="0.25">
      <c r="C753" s="15"/>
    </row>
    <row r="754" spans="3:3" x14ac:dyDescent="0.25">
      <c r="C754" s="15"/>
    </row>
    <row r="755" spans="3:3" x14ac:dyDescent="0.25">
      <c r="C755" s="15"/>
    </row>
    <row r="756" spans="3:3" x14ac:dyDescent="0.25">
      <c r="C756" s="15"/>
    </row>
    <row r="757" spans="3:3" x14ac:dyDescent="0.25">
      <c r="C757" s="15"/>
    </row>
    <row r="758" spans="3:3" x14ac:dyDescent="0.25">
      <c r="C758" s="15"/>
    </row>
    <row r="759" spans="3:3" x14ac:dyDescent="0.25">
      <c r="C759" s="15"/>
    </row>
    <row r="760" spans="3:3" x14ac:dyDescent="0.25">
      <c r="C760" s="15"/>
    </row>
    <row r="761" spans="3:3" x14ac:dyDescent="0.25">
      <c r="C761" s="15"/>
    </row>
    <row r="762" spans="3:3" x14ac:dyDescent="0.25">
      <c r="C762" s="15"/>
    </row>
    <row r="763" spans="3:3" x14ac:dyDescent="0.25">
      <c r="C763" s="15"/>
    </row>
    <row r="764" spans="3:3" x14ac:dyDescent="0.25">
      <c r="C764" s="15"/>
    </row>
    <row r="765" spans="3:3" x14ac:dyDescent="0.25">
      <c r="C765" s="15"/>
    </row>
    <row r="766" spans="3:3" x14ac:dyDescent="0.25">
      <c r="C766" s="15"/>
    </row>
    <row r="767" spans="3:3" x14ac:dyDescent="0.25">
      <c r="C767" s="15"/>
    </row>
    <row r="768" spans="3:3" x14ac:dyDescent="0.25">
      <c r="C768" s="15"/>
    </row>
    <row r="769" spans="3:3" x14ac:dyDescent="0.25">
      <c r="C769" s="15"/>
    </row>
    <row r="770" spans="3:3" x14ac:dyDescent="0.25">
      <c r="C770" s="15"/>
    </row>
    <row r="771" spans="3:3" x14ac:dyDescent="0.25">
      <c r="C771" s="15"/>
    </row>
    <row r="772" spans="3:3" x14ac:dyDescent="0.25">
      <c r="C772" s="15"/>
    </row>
    <row r="773" spans="3:3" x14ac:dyDescent="0.25">
      <c r="C773" s="15"/>
    </row>
    <row r="774" spans="3:3" x14ac:dyDescent="0.25">
      <c r="C774" s="15"/>
    </row>
    <row r="775" spans="3:3" x14ac:dyDescent="0.25">
      <c r="C775" s="15"/>
    </row>
    <row r="776" spans="3:3" x14ac:dyDescent="0.25">
      <c r="C776" s="15"/>
    </row>
    <row r="777" spans="3:3" x14ac:dyDescent="0.25">
      <c r="C777" s="15"/>
    </row>
    <row r="778" spans="3:3" x14ac:dyDescent="0.25">
      <c r="C778" s="15"/>
    </row>
    <row r="779" spans="3:3" x14ac:dyDescent="0.25">
      <c r="C779" s="15"/>
    </row>
    <row r="780" spans="3:3" x14ac:dyDescent="0.25">
      <c r="C780" s="15"/>
    </row>
    <row r="781" spans="3:3" x14ac:dyDescent="0.25">
      <c r="C781" s="15"/>
    </row>
    <row r="782" spans="3:3" x14ac:dyDescent="0.25">
      <c r="C782" s="15"/>
    </row>
    <row r="783" spans="3:3" x14ac:dyDescent="0.25">
      <c r="C783" s="15"/>
    </row>
    <row r="784" spans="3:3" x14ac:dyDescent="0.25">
      <c r="C784" s="15"/>
    </row>
    <row r="785" spans="3:3" x14ac:dyDescent="0.25">
      <c r="C785" s="15"/>
    </row>
    <row r="786" spans="3:3" x14ac:dyDescent="0.25">
      <c r="C786" s="15"/>
    </row>
    <row r="787" spans="3:3" x14ac:dyDescent="0.25">
      <c r="C787" s="15"/>
    </row>
    <row r="788" spans="3:3" x14ac:dyDescent="0.25">
      <c r="C788" s="15"/>
    </row>
    <row r="789" spans="3:3" x14ac:dyDescent="0.25">
      <c r="C789" s="15"/>
    </row>
    <row r="790" spans="3:3" x14ac:dyDescent="0.25">
      <c r="C790" s="15"/>
    </row>
    <row r="791" spans="3:3" x14ac:dyDescent="0.25">
      <c r="C791" s="15"/>
    </row>
    <row r="792" spans="3:3" x14ac:dyDescent="0.25">
      <c r="C792" s="15"/>
    </row>
    <row r="793" spans="3:3" x14ac:dyDescent="0.25">
      <c r="C793" s="15"/>
    </row>
    <row r="794" spans="3:3" x14ac:dyDescent="0.25">
      <c r="C794" s="15"/>
    </row>
    <row r="795" spans="3:3" x14ac:dyDescent="0.25">
      <c r="C795" s="15"/>
    </row>
    <row r="796" spans="3:3" x14ac:dyDescent="0.25">
      <c r="C796" s="15"/>
    </row>
    <row r="797" spans="3:3" x14ac:dyDescent="0.25">
      <c r="C797" s="15"/>
    </row>
    <row r="798" spans="3:3" x14ac:dyDescent="0.25">
      <c r="C798" s="15"/>
    </row>
    <row r="799" spans="3:3" x14ac:dyDescent="0.25">
      <c r="C799" s="15"/>
    </row>
    <row r="800" spans="3:3" x14ac:dyDescent="0.25">
      <c r="C800" s="15"/>
    </row>
    <row r="801" spans="3:3" x14ac:dyDescent="0.25">
      <c r="C801" s="15"/>
    </row>
    <row r="802" spans="3:3" x14ac:dyDescent="0.25">
      <c r="C802" s="15"/>
    </row>
    <row r="803" spans="3:3" x14ac:dyDescent="0.25">
      <c r="C803" s="15"/>
    </row>
    <row r="804" spans="3:3" x14ac:dyDescent="0.25">
      <c r="C804" s="15"/>
    </row>
    <row r="805" spans="3:3" x14ac:dyDescent="0.25">
      <c r="C805" s="15"/>
    </row>
    <row r="806" spans="3:3" x14ac:dyDescent="0.25">
      <c r="C806" s="15"/>
    </row>
    <row r="807" spans="3:3" x14ac:dyDescent="0.25">
      <c r="C807" s="15"/>
    </row>
    <row r="808" spans="3:3" x14ac:dyDescent="0.25">
      <c r="C808" s="15"/>
    </row>
    <row r="809" spans="3:3" x14ac:dyDescent="0.25">
      <c r="C809" s="15"/>
    </row>
    <row r="810" spans="3:3" x14ac:dyDescent="0.25">
      <c r="C810" s="15"/>
    </row>
    <row r="811" spans="3:3" x14ac:dyDescent="0.25">
      <c r="C811" s="15"/>
    </row>
    <row r="812" spans="3:3" x14ac:dyDescent="0.25">
      <c r="C812" s="15"/>
    </row>
    <row r="813" spans="3:3" x14ac:dyDescent="0.25">
      <c r="C813" s="15"/>
    </row>
    <row r="814" spans="3:3" x14ac:dyDescent="0.25">
      <c r="C814" s="15"/>
    </row>
    <row r="815" spans="3:3" x14ac:dyDescent="0.25">
      <c r="C815" s="15"/>
    </row>
    <row r="816" spans="3:3" x14ac:dyDescent="0.25">
      <c r="C816" s="15"/>
    </row>
    <row r="817" spans="3:3" x14ac:dyDescent="0.25">
      <c r="C817" s="15"/>
    </row>
    <row r="818" spans="3:3" x14ac:dyDescent="0.25">
      <c r="C818" s="15"/>
    </row>
    <row r="819" spans="3:3" x14ac:dyDescent="0.25">
      <c r="C819" s="15"/>
    </row>
    <row r="820" spans="3:3" x14ac:dyDescent="0.25">
      <c r="C820" s="15"/>
    </row>
    <row r="821" spans="3:3" x14ac:dyDescent="0.25">
      <c r="C821" s="15"/>
    </row>
    <row r="822" spans="3:3" x14ac:dyDescent="0.25">
      <c r="C822" s="15"/>
    </row>
    <row r="823" spans="3:3" x14ac:dyDescent="0.25">
      <c r="C823" s="15"/>
    </row>
    <row r="824" spans="3:3" x14ac:dyDescent="0.25">
      <c r="C824" s="15"/>
    </row>
    <row r="825" spans="3:3" x14ac:dyDescent="0.25">
      <c r="C825" s="15"/>
    </row>
    <row r="826" spans="3:3" x14ac:dyDescent="0.25">
      <c r="C826" s="15"/>
    </row>
    <row r="827" spans="3:3" x14ac:dyDescent="0.25">
      <c r="C827" s="15"/>
    </row>
    <row r="828" spans="3:3" x14ac:dyDescent="0.25">
      <c r="C828" s="15"/>
    </row>
    <row r="829" spans="3:3" x14ac:dyDescent="0.25">
      <c r="C829" s="15"/>
    </row>
    <row r="830" spans="3:3" x14ac:dyDescent="0.25">
      <c r="C830" s="15"/>
    </row>
    <row r="831" spans="3:3" x14ac:dyDescent="0.25">
      <c r="C831" s="15"/>
    </row>
    <row r="832" spans="3:3" x14ac:dyDescent="0.25">
      <c r="C832" s="15"/>
    </row>
    <row r="833" spans="3:3" x14ac:dyDescent="0.25">
      <c r="C833" s="15"/>
    </row>
    <row r="834" spans="3:3" x14ac:dyDescent="0.25">
      <c r="C834" s="15"/>
    </row>
    <row r="835" spans="3:3" x14ac:dyDescent="0.25">
      <c r="C835" s="15"/>
    </row>
    <row r="836" spans="3:3" x14ac:dyDescent="0.25">
      <c r="C836" s="15"/>
    </row>
    <row r="837" spans="3:3" x14ac:dyDescent="0.25">
      <c r="C837" s="15"/>
    </row>
    <row r="838" spans="3:3" x14ac:dyDescent="0.25">
      <c r="C838" s="15"/>
    </row>
    <row r="839" spans="3:3" x14ac:dyDescent="0.25">
      <c r="C839" s="15"/>
    </row>
    <row r="840" spans="3:3" x14ac:dyDescent="0.25">
      <c r="C840" s="15"/>
    </row>
    <row r="841" spans="3:3" x14ac:dyDescent="0.25">
      <c r="C841" s="15"/>
    </row>
    <row r="842" spans="3:3" x14ac:dyDescent="0.25">
      <c r="C842" s="15"/>
    </row>
    <row r="843" spans="3:3" x14ac:dyDescent="0.25">
      <c r="C843" s="15"/>
    </row>
    <row r="844" spans="3:3" x14ac:dyDescent="0.25">
      <c r="C844" s="15"/>
    </row>
    <row r="845" spans="3:3" x14ac:dyDescent="0.25">
      <c r="C845" s="15"/>
    </row>
    <row r="846" spans="3:3" x14ac:dyDescent="0.25">
      <c r="C846" s="15"/>
    </row>
    <row r="847" spans="3:3" x14ac:dyDescent="0.25">
      <c r="C847" s="15"/>
    </row>
    <row r="848" spans="3:3" x14ac:dyDescent="0.25">
      <c r="C848" s="15"/>
    </row>
    <row r="849" spans="3:3" x14ac:dyDescent="0.25">
      <c r="C849" s="15"/>
    </row>
    <row r="850" spans="3:3" x14ac:dyDescent="0.25">
      <c r="C850" s="15"/>
    </row>
    <row r="851" spans="3:3" x14ac:dyDescent="0.25">
      <c r="C851" s="15"/>
    </row>
    <row r="852" spans="3:3" x14ac:dyDescent="0.25">
      <c r="C852" s="15"/>
    </row>
    <row r="853" spans="3:3" x14ac:dyDescent="0.25">
      <c r="C853" s="15"/>
    </row>
    <row r="854" spans="3:3" x14ac:dyDescent="0.25">
      <c r="C854" s="15"/>
    </row>
    <row r="855" spans="3:3" x14ac:dyDescent="0.25">
      <c r="C855" s="15"/>
    </row>
    <row r="856" spans="3:3" x14ac:dyDescent="0.25">
      <c r="C856" s="15"/>
    </row>
    <row r="857" spans="3:3" x14ac:dyDescent="0.25">
      <c r="C857" s="15"/>
    </row>
    <row r="858" spans="3:3" x14ac:dyDescent="0.25">
      <c r="C858" s="15"/>
    </row>
    <row r="859" spans="3:3" x14ac:dyDescent="0.25">
      <c r="C859" s="15"/>
    </row>
    <row r="860" spans="3:3" x14ac:dyDescent="0.25">
      <c r="C860" s="15"/>
    </row>
    <row r="861" spans="3:3" x14ac:dyDescent="0.25">
      <c r="C861" s="15"/>
    </row>
    <row r="862" spans="3:3" x14ac:dyDescent="0.25">
      <c r="C862" s="15"/>
    </row>
    <row r="863" spans="3:3" x14ac:dyDescent="0.25">
      <c r="C863" s="15"/>
    </row>
    <row r="864" spans="3:3" x14ac:dyDescent="0.25">
      <c r="C864" s="15"/>
    </row>
    <row r="865" spans="3:3" x14ac:dyDescent="0.25">
      <c r="C865" s="15"/>
    </row>
    <row r="866" spans="3:3" x14ac:dyDescent="0.25">
      <c r="C866" s="15"/>
    </row>
    <row r="867" spans="3:3" x14ac:dyDescent="0.25">
      <c r="C867" s="15"/>
    </row>
    <row r="868" spans="3:3" x14ac:dyDescent="0.25">
      <c r="C868" s="15"/>
    </row>
    <row r="869" spans="3:3" x14ac:dyDescent="0.25">
      <c r="C869" s="15"/>
    </row>
    <row r="870" spans="3:3" x14ac:dyDescent="0.25">
      <c r="C870" s="15"/>
    </row>
    <row r="871" spans="3:3" x14ac:dyDescent="0.25">
      <c r="C871" s="15"/>
    </row>
    <row r="872" spans="3:3" x14ac:dyDescent="0.25">
      <c r="C872" s="15"/>
    </row>
    <row r="873" spans="3:3" x14ac:dyDescent="0.25">
      <c r="C873" s="15"/>
    </row>
    <row r="874" spans="3:3" x14ac:dyDescent="0.25">
      <c r="C874" s="15"/>
    </row>
    <row r="875" spans="3:3" x14ac:dyDescent="0.25">
      <c r="C875" s="15"/>
    </row>
    <row r="876" spans="3:3" x14ac:dyDescent="0.25">
      <c r="C876" s="15"/>
    </row>
    <row r="877" spans="3:3" x14ac:dyDescent="0.25">
      <c r="C877" s="15"/>
    </row>
    <row r="878" spans="3:3" x14ac:dyDescent="0.25">
      <c r="C878" s="15"/>
    </row>
    <row r="879" spans="3:3" x14ac:dyDescent="0.25">
      <c r="C879" s="15"/>
    </row>
    <row r="880" spans="3:3" x14ac:dyDescent="0.25">
      <c r="C880" s="15"/>
    </row>
    <row r="881" spans="3:3" x14ac:dyDescent="0.25">
      <c r="C881" s="15"/>
    </row>
    <row r="882" spans="3:3" x14ac:dyDescent="0.25">
      <c r="C882" s="15"/>
    </row>
    <row r="883" spans="3:3" x14ac:dyDescent="0.25">
      <c r="C883" s="15"/>
    </row>
    <row r="884" spans="3:3" x14ac:dyDescent="0.25">
      <c r="C884" s="15"/>
    </row>
    <row r="885" spans="3:3" x14ac:dyDescent="0.25">
      <c r="C885" s="15"/>
    </row>
    <row r="886" spans="3:3" x14ac:dyDescent="0.25">
      <c r="C886" s="15"/>
    </row>
    <row r="887" spans="3:3" x14ac:dyDescent="0.25">
      <c r="C887" s="15"/>
    </row>
    <row r="888" spans="3:3" x14ac:dyDescent="0.25">
      <c r="C888" s="15"/>
    </row>
    <row r="889" spans="3:3" x14ac:dyDescent="0.25">
      <c r="C889" s="15"/>
    </row>
    <row r="890" spans="3:3" x14ac:dyDescent="0.25">
      <c r="C890" s="15"/>
    </row>
    <row r="891" spans="3:3" x14ac:dyDescent="0.25">
      <c r="C891" s="15"/>
    </row>
    <row r="892" spans="3:3" x14ac:dyDescent="0.25">
      <c r="C892" s="15"/>
    </row>
    <row r="893" spans="3:3" x14ac:dyDescent="0.25">
      <c r="C893" s="15"/>
    </row>
    <row r="894" spans="3:3" x14ac:dyDescent="0.25">
      <c r="C894" s="15"/>
    </row>
    <row r="895" spans="3:3" x14ac:dyDescent="0.25">
      <c r="C895" s="15"/>
    </row>
    <row r="896" spans="3:3" x14ac:dyDescent="0.25">
      <c r="C896" s="15"/>
    </row>
    <row r="897" spans="3:3" x14ac:dyDescent="0.25">
      <c r="C897" s="15"/>
    </row>
    <row r="898" spans="3:3" x14ac:dyDescent="0.25">
      <c r="C898" s="15"/>
    </row>
    <row r="899" spans="3:3" x14ac:dyDescent="0.25">
      <c r="C899" s="15"/>
    </row>
    <row r="900" spans="3:3" x14ac:dyDescent="0.25">
      <c r="C900" s="15"/>
    </row>
    <row r="901" spans="3:3" x14ac:dyDescent="0.25">
      <c r="C901" s="15"/>
    </row>
    <row r="902" spans="3:3" x14ac:dyDescent="0.25">
      <c r="C902" s="15"/>
    </row>
    <row r="903" spans="3:3" x14ac:dyDescent="0.25">
      <c r="C903" s="15"/>
    </row>
    <row r="904" spans="3:3" x14ac:dyDescent="0.25">
      <c r="C904" s="15"/>
    </row>
    <row r="905" spans="3:3" x14ac:dyDescent="0.25">
      <c r="C905" s="15"/>
    </row>
    <row r="906" spans="3:3" x14ac:dyDescent="0.25">
      <c r="C906" s="15"/>
    </row>
    <row r="907" spans="3:3" x14ac:dyDescent="0.25">
      <c r="C907" s="15"/>
    </row>
    <row r="908" spans="3:3" x14ac:dyDescent="0.25">
      <c r="C908" s="15"/>
    </row>
    <row r="909" spans="3:3" x14ac:dyDescent="0.25">
      <c r="C909" s="15"/>
    </row>
    <row r="910" spans="3:3" x14ac:dyDescent="0.25">
      <c r="C910" s="15"/>
    </row>
    <row r="911" spans="3:3" x14ac:dyDescent="0.25">
      <c r="C911" s="15"/>
    </row>
    <row r="912" spans="3:3" x14ac:dyDescent="0.25">
      <c r="C912" s="15"/>
    </row>
    <row r="913" spans="3:3" x14ac:dyDescent="0.25">
      <c r="C913" s="15"/>
    </row>
    <row r="914" spans="3:3" x14ac:dyDescent="0.25">
      <c r="C914" s="15"/>
    </row>
    <row r="915" spans="3:3" x14ac:dyDescent="0.25">
      <c r="C915" s="15"/>
    </row>
    <row r="916" spans="3:3" x14ac:dyDescent="0.25">
      <c r="C916" s="15"/>
    </row>
    <row r="917" spans="3:3" x14ac:dyDescent="0.25">
      <c r="C917" s="15"/>
    </row>
    <row r="918" spans="3:3" x14ac:dyDescent="0.25">
      <c r="C918" s="15"/>
    </row>
    <row r="919" spans="3:3" x14ac:dyDescent="0.25">
      <c r="C919" s="15"/>
    </row>
    <row r="920" spans="3:3" x14ac:dyDescent="0.25">
      <c r="C920" s="15"/>
    </row>
    <row r="921" spans="3:3" x14ac:dyDescent="0.25">
      <c r="C921" s="15"/>
    </row>
    <row r="922" spans="3:3" x14ac:dyDescent="0.25">
      <c r="C922" s="15"/>
    </row>
    <row r="923" spans="3:3" x14ac:dyDescent="0.25">
      <c r="C923" s="15"/>
    </row>
    <row r="924" spans="3:3" x14ac:dyDescent="0.25">
      <c r="C924" s="15"/>
    </row>
    <row r="925" spans="3:3" x14ac:dyDescent="0.25">
      <c r="C925" s="15"/>
    </row>
    <row r="926" spans="3:3" x14ac:dyDescent="0.25">
      <c r="C926" s="15"/>
    </row>
    <row r="927" spans="3:3" x14ac:dyDescent="0.25">
      <c r="C927" s="15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DC0A7B79F33A84BA317B2840A9BEFFE" ma:contentTypeVersion="8" ma:contentTypeDescription="Create a new document." ma:contentTypeScope="" ma:versionID="6f587379c841469666d895a223d360e4">
  <xsd:schema xmlns:xsd="http://www.w3.org/2001/XMLSchema" xmlns:xs="http://www.w3.org/2001/XMLSchema" xmlns:p="http://schemas.microsoft.com/office/2006/metadata/properties" xmlns:ns3="0ecc64d0-1ba8-44c5-a993-391340c526c3" targetNamespace="http://schemas.microsoft.com/office/2006/metadata/properties" ma:root="true" ma:fieldsID="4c4f0f39a520c8803186f816188f6c83" ns3:_="">
    <xsd:import namespace="0ecc64d0-1ba8-44c5-a993-391340c526c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cc64d0-1ba8-44c5-a993-391340c526c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944808-10D7-4C2A-A7D0-B4D24279D51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cc64d0-1ba8-44c5-a993-391340c526c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7929AAA-7DF3-4016-A8BC-DA1CA361366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40E067E-D9AF-4B19-8462-F6E6AAEB5F70}">
  <ds:schemaRefs>
    <ds:schemaRef ds:uri="0ecc64d0-1ba8-44c5-a993-391340c526c3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Entry</vt:lpstr>
      <vt:lpstr>Input</vt:lpstr>
      <vt:lpstr>Export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Milenkom</dc:creator>
  <cp:lastModifiedBy>Milenko Manojlovic</cp:lastModifiedBy>
  <cp:lastPrinted>2020-09-15T22:26:47Z</cp:lastPrinted>
  <dcterms:created xsi:type="dcterms:W3CDTF">2015-08-04T19:52:36Z</dcterms:created>
  <dcterms:modified xsi:type="dcterms:W3CDTF">2020-10-15T18:50:54Z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0x0101009DC0A7B79F33A84BA317B2840A9BEFFE</vt:lpwstr>
  </property>
</Properties>
</file>