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mometeringservices-my.sharepoint.com/personal/milenko_mimometeringservices_onmicrosoft_com/Documents/Software Dev/MIMO Web/MIMO_WEB_MVC/MIMO-WEB-MVC/MIMO-WEB-MVC/Modules/"/>
    </mc:Choice>
  </mc:AlternateContent>
  <xr:revisionPtr revIDLastSave="83" documentId="8_{FCA5A60F-35E6-4B52-AB0A-224A41C49111}" xr6:coauthVersionLast="47" xr6:coauthVersionMax="47" xr10:uidLastSave="{D914535F-E575-4DFC-9164-230018467759}"/>
  <bookViews>
    <workbookView xWindow="-120" yWindow="-120" windowWidth="29040" windowHeight="15840" xr2:uid="{00000000-000D-0000-FFFF-FFFF00000000}"/>
  </bookViews>
  <sheets>
    <sheet name="Density" sheetId="12" r:id="rId1"/>
    <sheet name="Outputs" sheetId="21" state="veryHidden" r:id="rId2"/>
  </sheets>
  <functionGroups builtInGroupCount="19"/>
  <definedNames>
    <definedName name="Base">Density!$C$12</definedName>
    <definedName name="Commodity">Outputs!$B$18:$B$20</definedName>
    <definedName name="DensUnits">OFFSET(Outputs!$C$18,0,0,COUNTA(Outputs!$C$18:$C$108),1)</definedName>
    <definedName name="PressUnits">OFFSET(Outputs!$F$18,0,0,COUNTA(Outputs!$F$18:$F$108),1)</definedName>
    <definedName name="Selector">Density!$C$7</definedName>
    <definedName name="TempUnits">OFFSET(Outputs!$G$18,0,0,COUNTA(Outputs!$G$18:$G$108),1)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6" i="12" l="1"/>
  <c r="C25" i="12"/>
  <c r="C23" i="12"/>
  <c r="B10" i="12"/>
  <c r="C28" i="12"/>
  <c r="C27" i="12"/>
  <c r="C24" i="12"/>
  <c r="C18" i="12"/>
  <c r="C29" i="12"/>
  <c r="C30" i="12"/>
  <c r="C31" i="12"/>
  <c r="C32" i="12"/>
  <c r="C33" i="12"/>
  <c r="C34" i="12"/>
</calcChain>
</file>

<file path=xl/sharedStrings.xml><?xml version="1.0" encoding="utf-8"?>
<sst xmlns="http://schemas.openxmlformats.org/spreadsheetml/2006/main" count="89" uniqueCount="53">
  <si>
    <t>Crude Oil</t>
  </si>
  <si>
    <t>CTL</t>
  </si>
  <si>
    <t>CPL</t>
  </si>
  <si>
    <t>Refined</t>
  </si>
  <si>
    <t>Commodity Type:</t>
  </si>
  <si>
    <t>Lube Oil</t>
  </si>
  <si>
    <t>Observed Density</t>
  </si>
  <si>
    <t>Commodity</t>
  </si>
  <si>
    <t>kg/m3</t>
  </si>
  <si>
    <t>-</t>
  </si>
  <si>
    <t>compressibility, Fp</t>
  </si>
  <si>
    <t>1/°C</t>
  </si>
  <si>
    <t>1/bar.g</t>
  </si>
  <si>
    <t xml:space="preserve"> BaseDens Function/ObsDens Function Outputs</t>
  </si>
  <si>
    <t>Base Density/Observed Density</t>
  </si>
  <si>
    <r>
      <t>temperature expansion factor, α</t>
    </r>
    <r>
      <rPr>
        <vertAlign val="subscript"/>
        <sz val="10"/>
        <color theme="1"/>
        <rFont val="Calibri"/>
        <family val="2"/>
      </rPr>
      <t>60</t>
    </r>
  </si>
  <si>
    <t>Pressure Correction Factor, CPL</t>
  </si>
  <si>
    <t>Compressibility Factor. Fp</t>
  </si>
  <si>
    <t>Density corrected to ITS68 temp scale</t>
  </si>
  <si>
    <t>Constant A</t>
  </si>
  <si>
    <t>Constant B</t>
  </si>
  <si>
    <t>Pressure correction Factors</t>
  </si>
  <si>
    <t>Temperature correction Factors</t>
  </si>
  <si>
    <t>Temp Correction Factor, CTL</t>
  </si>
  <si>
    <t>Revision:</t>
  </si>
  <si>
    <t>CONVERSION TYPE</t>
  </si>
  <si>
    <t>Observed Temperature</t>
  </si>
  <si>
    <t>Observed Pressure</t>
  </si>
  <si>
    <t>OBSERVED TO BASE</t>
  </si>
  <si>
    <t>OBSERVED TO ALTERNATE</t>
  </si>
  <si>
    <t>BASE TO OBSERVED</t>
  </si>
  <si>
    <t>INTERMEDIARY RESULTS</t>
  </si>
  <si>
    <t>UNIT</t>
  </si>
  <si>
    <t>Compressibility</t>
  </si>
  <si>
    <t>kg/Sm3</t>
  </si>
  <si>
    <t>VALUE</t>
  </si>
  <si>
    <t>Base Pressure</t>
  </si>
  <si>
    <t>°C</t>
  </si>
  <si>
    <t>kPa</t>
  </si>
  <si>
    <t>bar</t>
  </si>
  <si>
    <t>1/bar</t>
  </si>
  <si>
    <t>Thermal expansion coefficient</t>
  </si>
  <si>
    <t>Base Density @ 15 °C</t>
  </si>
  <si>
    <t>Observed temp</t>
  </si>
  <si>
    <t>CTL1 - base 15 °C to base 60°F</t>
  </si>
  <si>
    <t>Base Density @ 60°F</t>
  </si>
  <si>
    <t>CPL - base 60°F to observed</t>
  </si>
  <si>
    <t>CTL2 - base 60°F to observed</t>
  </si>
  <si>
    <t>CTL combined</t>
  </si>
  <si>
    <t>Workbook 2:</t>
  </si>
  <si>
    <t>Oil Properties - Density/Volume Conversions</t>
  </si>
  <si>
    <t>Base Temperature</t>
  </si>
  <si>
    <t>F1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</si>
</sst>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0"/>
  </numFmts>
  <fonts count="32" x14ac:knownFonts="1">
    <font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sz val="10"/>
      <color theme="0"/>
      <name val="Calibri"/>
      <family val="2"/>
    </font>
    <font>
      <b/>
      <sz val="10"/>
      <color theme="0"/>
      <name val="Calibri"/>
      <family val="2"/>
    </font>
    <font>
      <sz val="10"/>
      <color rgb="FFFFFF00"/>
      <name val="Aharoni"/>
      <charset val="177"/>
    </font>
    <font>
      <sz val="11"/>
      <color rgb="FFFFFF00"/>
      <name val="Aharoni"/>
      <charset val="177"/>
    </font>
    <font>
      <vertAlign val="subscript"/>
      <sz val="10"/>
      <color theme="1"/>
      <name val="Calibri"/>
      <family val="2"/>
    </font>
    <font>
      <b/>
      <sz val="10"/>
      <color rgb="FFFFFF00"/>
      <name val="David"/>
      <family val="2"/>
      <charset val="177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Calibri Light"/>
      <family val="2"/>
    </font>
    <font>
      <b/>
      <sz val="10"/>
      <color theme="1"/>
      <name val="Calibri Light"/>
      <family val="2"/>
    </font>
    <font>
      <sz val="11"/>
      <color theme="1"/>
      <name val="Calibri"/>
      <family val="2"/>
    </font>
    <font>
      <sz val="10"/>
      <color theme="0" tint="-0.499984740745262"/>
      <name val="Arial"/>
      <family val="2"/>
      <scheme val="minor"/>
    </font>
    <font>
      <sz val="10"/>
      <color theme="0" tint="-0.499984740745262"/>
      <name val="Calibri"/>
      <family val="2"/>
    </font>
    <font>
      <sz val="10"/>
      <color theme="0"/>
      <name val="Calibri Light"/>
      <family val="2"/>
      <charset val="238"/>
    </font>
    <font>
      <sz val="10"/>
      <color rgb="FFFFFFFF"/>
      <name val="Calibri"/>
      <family val="2"/>
    </font>
    <font>
      <sz val="10"/>
      <color rgb="FF000000"/>
      <name val="Calibri"/>
      <family val="2"/>
    </font>
    <font>
      <sz val="8"/>
      <color rgb="FF000000"/>
      <name val="Segoe UI"/>
      <family val="2"/>
      <charset val="238"/>
    </font>
    <font>
      <b/>
      <sz val="10"/>
      <color rgb="FFFF0000"/>
      <name val="Calibri"/>
      <family val="2"/>
      <charset val="238"/>
    </font>
    <font>
      <sz val="10"/>
      <color rgb="FF002060"/>
      <name val="Calibri"/>
      <family val="2"/>
    </font>
    <font>
      <sz val="11"/>
      <color rgb="FF002060"/>
      <name val="Arial"/>
      <family val="2"/>
      <scheme val="minor"/>
    </font>
    <font>
      <sz val="11"/>
      <color rgb="FF002060"/>
      <name val="Segoe UI"/>
      <family val="2"/>
    </font>
    <font>
      <b/>
      <sz val="10"/>
      <color rgb="FF002060"/>
      <name val="Calibri"/>
      <family val="2"/>
      <charset val="238"/>
    </font>
    <font>
      <sz val="10"/>
      <color rgb="FF002060"/>
      <name val="Calibri"/>
      <family val="2"/>
      <charset val="238"/>
    </font>
    <font>
      <sz val="10"/>
      <color theme="1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gradientFill degree="90">
        <stop position="0">
          <color theme="0"/>
        </stop>
        <stop position="1">
          <color rgb="FFFFC000"/>
        </stop>
      </gradient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002060"/>
      </top>
      <bottom/>
      <diagonal/>
    </border>
    <border>
      <left/>
      <right/>
      <top/>
      <bottom style="thin">
        <color rgb="FF002060"/>
      </bottom>
      <diagonal/>
    </border>
  </borders>
  <cellStyleXfs count="2">
    <xf numFmtId="0" fontId="0" fillId="0" borderId="0"/>
    <xf numFmtId="0" fontId="4" fillId="0" borderId="0"/>
  </cellStyleXfs>
  <cellXfs count="81">
    <xf numFmtId="0" fontId="0" fillId="0" borderId="0" xfId="0"/>
    <xf numFmtId="0" fontId="0" fillId="0" borderId="0" xfId="0" applyBorder="1"/>
    <xf numFmtId="0" fontId="2" fillId="0" borderId="0" xfId="0" applyFont="1" applyAlignment="1">
      <alignment horizontal="center"/>
    </xf>
    <xf numFmtId="0" fontId="8" fillId="3" borderId="0" xfId="0" applyFont="1" applyFill="1"/>
    <xf numFmtId="0" fontId="1" fillId="3" borderId="0" xfId="0" applyFont="1" applyFill="1"/>
    <xf numFmtId="0" fontId="9" fillId="3" borderId="0" xfId="0" applyFont="1" applyFill="1"/>
    <xf numFmtId="0" fontId="8" fillId="3" borderId="0" xfId="0" applyFont="1" applyFill="1" applyAlignment="1">
      <alignment horizontal="center"/>
    </xf>
    <xf numFmtId="0" fontId="14" fillId="0" borderId="3" xfId="0" applyFont="1" applyBorder="1" applyAlignment="1">
      <alignment horizontal="center"/>
    </xf>
    <xf numFmtId="0" fontId="17" fillId="0" borderId="1" xfId="0" applyFont="1" applyBorder="1" applyAlignment="1">
      <alignment horizontal="left"/>
    </xf>
    <xf numFmtId="0" fontId="16" fillId="0" borderId="1" xfId="0" applyFont="1" applyBorder="1" applyAlignment="1">
      <alignment horizontal="left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19" fillId="0" borderId="3" xfId="0" applyFont="1" applyBorder="1" applyAlignment="1">
      <alignment horizontal="center"/>
    </xf>
    <xf numFmtId="0" fontId="20" fillId="0" borderId="1" xfId="0" applyFont="1" applyBorder="1" applyAlignment="1">
      <alignment horizontal="left"/>
    </xf>
    <xf numFmtId="0" fontId="20" fillId="0" borderId="2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1" fillId="0" borderId="0" xfId="0" applyFont="1"/>
    <xf numFmtId="0" fontId="16" fillId="0" borderId="0" xfId="0" applyFont="1" applyFill="1" applyBorder="1" applyAlignment="1">
      <alignment horizontal="left"/>
    </xf>
    <xf numFmtId="0" fontId="16" fillId="0" borderId="0" xfId="0" applyFont="1" applyFill="1" applyBorder="1"/>
    <xf numFmtId="0" fontId="14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/>
    <xf numFmtId="0" fontId="7" fillId="0" borderId="0" xfId="0" applyFont="1" applyFill="1"/>
    <xf numFmtId="0" fontId="0" fillId="2" borderId="0" xfId="0" applyFill="1"/>
    <xf numFmtId="0" fontId="13" fillId="2" borderId="0" xfId="0" applyFont="1" applyFill="1" applyBorder="1"/>
    <xf numFmtId="0" fontId="10" fillId="2" borderId="0" xfId="0" applyFont="1" applyFill="1" applyBorder="1"/>
    <xf numFmtId="0" fontId="11" fillId="2" borderId="0" xfId="0" applyFont="1" applyFill="1" applyBorder="1"/>
    <xf numFmtId="0" fontId="8" fillId="2" borderId="0" xfId="0" applyFont="1" applyFill="1" applyBorder="1"/>
    <xf numFmtId="0" fontId="1" fillId="2" borderId="0" xfId="0" applyFont="1" applyFill="1" applyBorder="1"/>
    <xf numFmtId="0" fontId="9" fillId="2" borderId="0" xfId="0" applyFont="1" applyFill="1" applyBorder="1"/>
    <xf numFmtId="0" fontId="6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2" fontId="5" fillId="2" borderId="0" xfId="0" applyNumberFormat="1" applyFont="1" applyFill="1" applyBorder="1" applyAlignment="1">
      <alignment horizontal="center"/>
    </xf>
    <xf numFmtId="164" fontId="5" fillId="2" borderId="0" xfId="0" applyNumberFormat="1" applyFont="1" applyFill="1" applyBorder="1" applyAlignment="1">
      <alignment horizontal="center"/>
    </xf>
    <xf numFmtId="165" fontId="6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0" fontId="21" fillId="5" borderId="0" xfId="0" applyFont="1" applyFill="1" applyBorder="1" applyAlignment="1">
      <alignment horizontal="left"/>
    </xf>
    <xf numFmtId="0" fontId="0" fillId="5" borderId="0" xfId="0" applyFill="1" applyBorder="1"/>
    <xf numFmtId="0" fontId="21" fillId="5" borderId="0" xfId="0" applyFont="1" applyFill="1" applyBorder="1"/>
    <xf numFmtId="0" fontId="16" fillId="5" borderId="0" xfId="0" applyFont="1" applyFill="1" applyBorder="1"/>
    <xf numFmtId="0" fontId="16" fillId="5" borderId="0" xfId="0" applyFont="1" applyFill="1" applyBorder="1" applyAlignment="1">
      <alignment horizontal="left"/>
    </xf>
    <xf numFmtId="0" fontId="22" fillId="3" borderId="0" xfId="0" applyFont="1" applyFill="1"/>
    <xf numFmtId="0" fontId="25" fillId="5" borderId="0" xfId="0" applyFont="1" applyFill="1" applyAlignment="1" applyProtection="1">
      <alignment horizontal="center"/>
      <protection locked="0"/>
    </xf>
    <xf numFmtId="0" fontId="6" fillId="0" borderId="0" xfId="0" applyFont="1" applyFill="1" applyAlignment="1" applyProtection="1">
      <alignment horizontal="center"/>
      <protection locked="0"/>
    </xf>
    <xf numFmtId="2" fontId="5" fillId="0" borderId="0" xfId="0" applyNumberFormat="1" applyFont="1" applyFill="1" applyAlignment="1" applyProtection="1">
      <alignment horizontal="center"/>
      <protection locked="0"/>
    </xf>
    <xf numFmtId="164" fontId="5" fillId="0" borderId="0" xfId="0" applyNumberFormat="1" applyFont="1" applyFill="1" applyAlignment="1" applyProtection="1">
      <alignment horizontal="center"/>
      <protection locked="0"/>
    </xf>
    <xf numFmtId="164" fontId="5" fillId="6" borderId="0" xfId="0" applyNumberFormat="1" applyFont="1" applyFill="1" applyAlignment="1" applyProtection="1">
      <alignment horizontal="center"/>
      <protection locked="0"/>
    </xf>
    <xf numFmtId="164" fontId="23" fillId="6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/>
    <xf numFmtId="0" fontId="16" fillId="0" borderId="1" xfId="0" applyFont="1" applyFill="1" applyBorder="1" applyAlignment="1">
      <alignment horizontal="center"/>
    </xf>
    <xf numFmtId="164" fontId="16" fillId="0" borderId="1" xfId="0" applyNumberFormat="1" applyFont="1" applyFill="1" applyBorder="1" applyAlignment="1">
      <alignment horizontal="center"/>
    </xf>
    <xf numFmtId="2" fontId="16" fillId="0" borderId="1" xfId="0" applyNumberFormat="1" applyFont="1" applyFill="1" applyBorder="1" applyAlignment="1">
      <alignment horizontal="center"/>
    </xf>
    <xf numFmtId="165" fontId="16" fillId="0" borderId="1" xfId="0" applyNumberFormat="1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164" fontId="26" fillId="3" borderId="0" xfId="0" applyNumberFormat="1" applyFont="1" applyFill="1" applyAlignment="1">
      <alignment horizontal="center"/>
    </xf>
    <xf numFmtId="0" fontId="26" fillId="0" borderId="0" xfId="0" applyFont="1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left"/>
    </xf>
    <xf numFmtId="0" fontId="8" fillId="3" borderId="0" xfId="0" applyFont="1" applyFill="1" applyAlignment="1" applyProtection="1">
      <alignment horizontal="center"/>
      <protection locked="0"/>
    </xf>
    <xf numFmtId="2" fontId="6" fillId="0" borderId="0" xfId="0" applyNumberFormat="1" applyFont="1" applyFill="1" applyAlignment="1" applyProtection="1">
      <alignment horizontal="center"/>
    </xf>
    <xf numFmtId="0" fontId="29" fillId="0" borderId="7" xfId="0" applyFont="1" applyBorder="1" applyAlignment="1">
      <alignment horizontal="left"/>
    </xf>
    <xf numFmtId="0" fontId="30" fillId="0" borderId="7" xfId="0" applyFont="1" applyBorder="1" applyAlignment="1">
      <alignment horizontal="left"/>
    </xf>
    <xf numFmtId="0" fontId="31" fillId="0" borderId="7" xfId="0" applyFont="1" applyBorder="1"/>
    <xf numFmtId="0" fontId="30" fillId="0" borderId="7" xfId="0" applyFont="1" applyBorder="1" applyAlignment="1">
      <alignment horizontal="center"/>
    </xf>
    <xf numFmtId="0" fontId="31" fillId="0" borderId="7" xfId="0" applyFont="1" applyBorder="1" applyAlignment="1">
      <alignment horizontal="center"/>
    </xf>
    <xf numFmtId="0" fontId="29" fillId="0" borderId="0" xfId="0" applyFont="1" applyAlignment="1">
      <alignment horizontal="left"/>
    </xf>
    <xf numFmtId="0" fontId="30" fillId="0" borderId="0" xfId="0" applyFont="1" applyAlignment="1">
      <alignment horizontal="left"/>
    </xf>
    <xf numFmtId="0" fontId="31" fillId="0" borderId="0" xfId="0" applyFont="1"/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31" fillId="0" borderId="8" xfId="0" applyFont="1" applyBorder="1"/>
    <xf numFmtId="0" fontId="31" fillId="0" borderId="8" xfId="0" applyFont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5" fillId="4" borderId="4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2">
    <cellStyle name="Navadno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276225</xdr:colOff>
      <xdr:row>0</xdr:row>
      <xdr:rowOff>47625</xdr:rowOff>
    </xdr:from>
    <xdr:to>
      <xdr:col>7</xdr:col>
      <xdr:colOff>895350</xdr:colOff>
      <xdr:row>3</xdr:row>
      <xdr:rowOff>128112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525" y="47625"/>
          <a:ext cx="1562100" cy="5662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19050</xdr:rowOff>
        </xdr:from>
        <xdr:to>
          <xdr:col>7</xdr:col>
          <xdr:colOff>942975</xdr:colOff>
          <xdr:row>19</xdr:row>
          <xdr:rowOff>0</xdr:rowOff>
        </xdr:to>
        <xdr:sp macro="" textlink="">
          <xdr:nvSpPr>
            <xdr:cNvPr id="1028" name="Group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TABLE SELECTION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6</xdr:row>
          <xdr:rowOff>95250</xdr:rowOff>
        </xdr:from>
        <xdr:to>
          <xdr:col>7</xdr:col>
          <xdr:colOff>304800</xdr:colOff>
          <xdr:row>8</xdr:row>
          <xdr:rowOff>66675</xdr:rowOff>
        </xdr:to>
        <xdr:sp macro="" textlink="">
          <xdr:nvSpPr>
            <xdr:cNvPr id="1029" name="Option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9</xdr:row>
          <xdr:rowOff>9525</xdr:rowOff>
        </xdr:from>
        <xdr:to>
          <xdr:col>7</xdr:col>
          <xdr:colOff>304800</xdr:colOff>
          <xdr:row>10</xdr:row>
          <xdr:rowOff>142875</xdr:rowOff>
        </xdr:to>
        <xdr:sp macro="" textlink="">
          <xdr:nvSpPr>
            <xdr:cNvPr id="1030" name="OptionButton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12</xdr:row>
          <xdr:rowOff>133350</xdr:rowOff>
        </xdr:from>
        <xdr:to>
          <xdr:col>6</xdr:col>
          <xdr:colOff>790575</xdr:colOff>
          <xdr:row>14</xdr:row>
          <xdr:rowOff>104775</xdr:rowOff>
        </xdr:to>
        <xdr:sp macro="" textlink="">
          <xdr:nvSpPr>
            <xdr:cNvPr id="1034" name="Option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</xdr:row>
          <xdr:rowOff>38100</xdr:rowOff>
        </xdr:from>
        <xdr:to>
          <xdr:col>6</xdr:col>
          <xdr:colOff>723900</xdr:colOff>
          <xdr:row>17</xdr:row>
          <xdr:rowOff>9525</xdr:rowOff>
        </xdr:to>
        <xdr:sp macro="" textlink="">
          <xdr:nvSpPr>
            <xdr:cNvPr id="1035" name="OptionButton4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GS">
  <a:themeElements>
    <a:clrScheme name="SGS">
      <a:dk1>
        <a:sysClr val="windowText" lastClr="000000"/>
      </a:dk1>
      <a:lt1>
        <a:sysClr val="window" lastClr="FFFFFF"/>
      </a:lt1>
      <a:dk2>
        <a:srgbClr val="000000"/>
      </a:dk2>
      <a:lt2>
        <a:srgbClr val="EEECE1"/>
      </a:lt2>
      <a:accent1>
        <a:srgbClr val="363636"/>
      </a:accent1>
      <a:accent2>
        <a:srgbClr val="848685"/>
      </a:accent2>
      <a:accent3>
        <a:srgbClr val="FF6600"/>
      </a:accent3>
      <a:accent4>
        <a:srgbClr val="BCBCBC"/>
      </a:accent4>
      <a:accent5>
        <a:srgbClr val="FF9900"/>
      </a:accent5>
      <a:accent6>
        <a:srgbClr val="FF0000"/>
      </a:accent6>
      <a:hlink>
        <a:srgbClr val="FF6600"/>
      </a:hlink>
      <a:folHlink>
        <a:srgbClr val="363636"/>
      </a:folHlink>
    </a:clrScheme>
    <a:fontScheme name="default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chemeClr val="accent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anchor="t" anchorCtr="0" compatLnSpc="1">
        <a:prstTxWarp prst="textNoShape">
          <a:avLst/>
        </a:prstTxWarp>
      </a:bodyPr>
      <a:lstStyle>
        <a:defPPr marL="0" marR="0" indent="0" algn="l" defTabSz="914400" rtl="0" eaLnBrk="0" fontAlgn="base" latinLnBrk="0" hangingPunct="0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US" sz="2400" b="0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Times New Roman" pitchFamily="18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chemeClr val="accent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anchor="t" anchorCtr="0" compatLnSpc="1">
        <a:prstTxWarp prst="textNoShape">
          <a:avLst/>
        </a:prstTxWarp>
      </a:bodyPr>
      <a:lstStyle>
        <a:defPPr marL="0" marR="0" indent="0" algn="l" defTabSz="914400" rtl="0" eaLnBrk="0" fontAlgn="base" latinLnBrk="0" hangingPunct="0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US" sz="2400" b="0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Times New Roman" pitchFamily="18" charset="0"/>
          </a:defRPr>
        </a:defPPr>
      </a:lstStyle>
    </a:lnDef>
  </a:objectDefaults>
  <a:extraClrSchemeLst>
    <a:extraClrScheme>
      <a:clrScheme name="default 1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00CC99"/>
        </a:accent1>
        <a:accent2>
          <a:srgbClr val="3333CC"/>
        </a:accent2>
        <a:accent3>
          <a:srgbClr val="FFFFFF"/>
        </a:accent3>
        <a:accent4>
          <a:srgbClr val="000000"/>
        </a:accent4>
        <a:accent5>
          <a:srgbClr val="AAE2CA"/>
        </a:accent5>
        <a:accent6>
          <a:srgbClr val="2D2DB9"/>
        </a:accent6>
        <a:hlink>
          <a:srgbClr val="CCCCFF"/>
        </a:hlink>
        <a:folHlink>
          <a:srgbClr val="B2B2B2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2">
        <a:dk1>
          <a:srgbClr val="000000"/>
        </a:dk1>
        <a:lt1>
          <a:srgbClr val="FFFFFF"/>
        </a:lt1>
        <a:dk2>
          <a:srgbClr val="0000FF"/>
        </a:dk2>
        <a:lt2>
          <a:srgbClr val="FFFF00"/>
        </a:lt2>
        <a:accent1>
          <a:srgbClr val="FF9900"/>
        </a:accent1>
        <a:accent2>
          <a:srgbClr val="00FFFF"/>
        </a:accent2>
        <a:accent3>
          <a:srgbClr val="AAAAFF"/>
        </a:accent3>
        <a:accent4>
          <a:srgbClr val="DADADA"/>
        </a:accent4>
        <a:accent5>
          <a:srgbClr val="FFCAAA"/>
        </a:accent5>
        <a:accent6>
          <a:srgbClr val="00E7E7"/>
        </a:accent6>
        <a:hlink>
          <a:srgbClr val="FF0000"/>
        </a:hlink>
        <a:folHlink>
          <a:srgbClr val="969696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default 3">
        <a:dk1>
          <a:srgbClr val="000000"/>
        </a:dk1>
        <a:lt1>
          <a:srgbClr val="FFFFCC"/>
        </a:lt1>
        <a:dk2>
          <a:srgbClr val="808000"/>
        </a:dk2>
        <a:lt2>
          <a:srgbClr val="666633"/>
        </a:lt2>
        <a:accent1>
          <a:srgbClr val="339933"/>
        </a:accent1>
        <a:accent2>
          <a:srgbClr val="800000"/>
        </a:accent2>
        <a:accent3>
          <a:srgbClr val="FFFFE2"/>
        </a:accent3>
        <a:accent4>
          <a:srgbClr val="000000"/>
        </a:accent4>
        <a:accent5>
          <a:srgbClr val="ADCAAD"/>
        </a:accent5>
        <a:accent6>
          <a:srgbClr val="730000"/>
        </a:accent6>
        <a:hlink>
          <a:srgbClr val="0033CC"/>
        </a:hlink>
        <a:folHlink>
          <a:srgbClr val="FFCC66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4">
        <a:dk1>
          <a:srgbClr val="000000"/>
        </a:dk1>
        <a:lt1>
          <a:srgbClr val="FFFFFF"/>
        </a:lt1>
        <a:dk2>
          <a:srgbClr val="000000"/>
        </a:dk2>
        <a:lt2>
          <a:srgbClr val="333333"/>
        </a:lt2>
        <a:accent1>
          <a:srgbClr val="DDDDDD"/>
        </a:accent1>
        <a:accent2>
          <a:srgbClr val="808080"/>
        </a:accent2>
        <a:accent3>
          <a:srgbClr val="FFFFFF"/>
        </a:accent3>
        <a:accent4>
          <a:srgbClr val="000000"/>
        </a:accent4>
        <a:accent5>
          <a:srgbClr val="EBEBEB"/>
        </a:accent5>
        <a:accent6>
          <a:srgbClr val="737373"/>
        </a:accent6>
        <a:hlink>
          <a:srgbClr val="4D4D4D"/>
        </a:hlink>
        <a:folHlink>
          <a:srgbClr val="EAEAEA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5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FFCC66"/>
        </a:accent1>
        <a:accent2>
          <a:srgbClr val="0000FF"/>
        </a:accent2>
        <a:accent3>
          <a:srgbClr val="FFFFFF"/>
        </a:accent3>
        <a:accent4>
          <a:srgbClr val="000000"/>
        </a:accent4>
        <a:accent5>
          <a:srgbClr val="FFE2B8"/>
        </a:accent5>
        <a:accent6>
          <a:srgbClr val="0000E7"/>
        </a:accent6>
        <a:hlink>
          <a:srgbClr val="CC00CC"/>
        </a:hlink>
        <a:folHlink>
          <a:srgbClr val="C0C0C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6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C0C0C0"/>
        </a:accent1>
        <a:accent2>
          <a:srgbClr val="0066FF"/>
        </a:accent2>
        <a:accent3>
          <a:srgbClr val="FFFFFF"/>
        </a:accent3>
        <a:accent4>
          <a:srgbClr val="000000"/>
        </a:accent4>
        <a:accent5>
          <a:srgbClr val="DCDCDC"/>
        </a:accent5>
        <a:accent6>
          <a:srgbClr val="005CE7"/>
        </a:accent6>
        <a:hlink>
          <a:srgbClr val="FF0000"/>
        </a:hlink>
        <a:folHlink>
          <a:srgbClr val="00990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7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3399FF"/>
        </a:accent1>
        <a:accent2>
          <a:srgbClr val="99FFCC"/>
        </a:accent2>
        <a:accent3>
          <a:srgbClr val="FFFFFF"/>
        </a:accent3>
        <a:accent4>
          <a:srgbClr val="000000"/>
        </a:accent4>
        <a:accent5>
          <a:srgbClr val="ADCAFF"/>
        </a:accent5>
        <a:accent6>
          <a:srgbClr val="8AE7B9"/>
        </a:accent6>
        <a:hlink>
          <a:srgbClr val="CC00CC"/>
        </a:hlink>
        <a:folHlink>
          <a:srgbClr val="B2B2B2"/>
        </a:folHlink>
      </a:clrScheme>
      <a:clrMap bg1="lt1" tx1="dk1" bg2="lt2" tx2="dk2" accent1="accent1" accent2="accent2" accent3="accent3" accent4="accent4" accent5="accent5" accent6="accent6" hlink="hlink" folHlink="folHlink"/>
    </a:extraClrScheme>
  </a:extraClrScheme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37"/>
  <sheetViews>
    <sheetView showGridLines="0" tabSelected="1" view="pageLayout" zoomScaleNormal="100" zoomScaleSheetLayoutView="100" workbookViewId="0">
      <selection activeCell="C7" sqref="C7"/>
    </sheetView>
  </sheetViews>
  <sheetFormatPr defaultRowHeight="12.75" customHeight="1" x14ac:dyDescent="0.2"/>
  <cols>
    <col min="1" max="1" width="2.625" customWidth="1"/>
    <col min="2" max="2" width="25.75" customWidth="1"/>
    <col min="3" max="3" width="21.375" customWidth="1"/>
    <col min="4" max="4" width="10" customWidth="1"/>
    <col min="5" max="5" width="1.75" customWidth="1"/>
    <col min="6" max="6" width="9" customWidth="1"/>
    <col min="7" max="7" width="12.125" customWidth="1"/>
    <col min="8" max="8" width="12.625" customWidth="1"/>
    <col min="9" max="9" width="4.875" customWidth="1"/>
  </cols>
  <sheetData>
    <row r="1" spans="2:8" ht="12.75" customHeight="1" x14ac:dyDescent="0.2">
      <c r="B1" s="63" t="s">
        <v>49</v>
      </c>
      <c r="C1" s="64" t="s">
        <v>50</v>
      </c>
      <c r="D1" s="65"/>
      <c r="E1" s="65"/>
      <c r="F1" s="66"/>
      <c r="G1" s="67"/>
      <c r="H1" s="67"/>
    </row>
    <row r="2" spans="2:8" ht="12.75" customHeight="1" x14ac:dyDescent="0.2">
      <c r="B2" s="68" t="s">
        <v>24</v>
      </c>
      <c r="C2" s="69" t="s">
        <v>52</v>
      </c>
      <c r="D2" s="70"/>
      <c r="E2" s="70"/>
      <c r="F2" s="71"/>
      <c r="G2" s="72"/>
      <c r="H2" s="72"/>
    </row>
    <row r="3" spans="2:8" ht="12.75" customHeight="1" x14ac:dyDescent="0.2">
      <c r="B3" s="70"/>
      <c r="C3" s="70"/>
      <c r="D3" s="70"/>
      <c r="E3" s="70"/>
      <c r="F3" s="72"/>
      <c r="G3" s="72"/>
      <c r="H3" s="72"/>
    </row>
    <row r="4" spans="2:8" ht="12.75" customHeight="1" x14ac:dyDescent="0.2">
      <c r="B4" s="73"/>
      <c r="C4" s="73"/>
      <c r="D4" s="73"/>
      <c r="E4" s="73"/>
      <c r="F4" s="74"/>
      <c r="G4" s="74"/>
      <c r="H4" s="74"/>
    </row>
    <row r="5" spans="2:8" ht="12.75" customHeight="1" x14ac:dyDescent="0.2">
      <c r="B5" s="1"/>
      <c r="C5" s="1"/>
      <c r="D5" s="1"/>
      <c r="E5" s="1"/>
      <c r="F5" s="21"/>
      <c r="G5" s="21"/>
      <c r="H5" s="22"/>
    </row>
    <row r="6" spans="2:8" ht="12.75" customHeight="1" x14ac:dyDescent="0.2">
      <c r="B6" s="3"/>
      <c r="C6" s="3"/>
      <c r="D6" s="4"/>
      <c r="E6" s="23"/>
      <c r="F6" s="25"/>
      <c r="G6" s="25"/>
      <c r="H6" s="25"/>
    </row>
    <row r="7" spans="2:8" ht="12.75" customHeight="1" x14ac:dyDescent="0.25">
      <c r="B7" s="3" t="s">
        <v>25</v>
      </c>
      <c r="C7" s="44" t="s">
        <v>30</v>
      </c>
      <c r="D7" s="6"/>
      <c r="E7" s="24"/>
      <c r="F7" s="26"/>
      <c r="G7" s="27"/>
      <c r="H7" s="28"/>
    </row>
    <row r="8" spans="2:8" ht="12.75" customHeight="1" x14ac:dyDescent="0.2">
      <c r="B8" s="3"/>
      <c r="C8" s="3"/>
      <c r="D8" s="4"/>
      <c r="E8" s="23"/>
      <c r="F8" s="29"/>
      <c r="G8" s="29"/>
      <c r="H8" s="30"/>
    </row>
    <row r="9" spans="2:8" ht="12.75" customHeight="1" x14ac:dyDescent="0.2">
      <c r="B9" s="5" t="s">
        <v>4</v>
      </c>
      <c r="C9" s="45" t="s">
        <v>0</v>
      </c>
      <c r="D9" s="6"/>
      <c r="E9" s="23"/>
      <c r="F9" s="31"/>
      <c r="G9" s="32"/>
      <c r="H9" s="33"/>
    </row>
    <row r="10" spans="2:8" ht="12.75" customHeight="1" x14ac:dyDescent="0.2">
      <c r="B10" s="3" t="str">
        <f>"Base Density @" &amp; Base &amp; D12</f>
        <v>Base Density @15°C</v>
      </c>
      <c r="C10" s="46">
        <v>810</v>
      </c>
      <c r="D10" s="61" t="s">
        <v>8</v>
      </c>
      <c r="E10" s="23"/>
      <c r="F10" s="29"/>
      <c r="G10" s="34"/>
      <c r="H10" s="33"/>
    </row>
    <row r="11" spans="2:8" ht="12.75" customHeight="1" x14ac:dyDescent="0.2">
      <c r="B11" s="3"/>
      <c r="C11" s="6"/>
      <c r="D11" s="6"/>
      <c r="E11" s="23"/>
      <c r="F11" s="29"/>
      <c r="G11" s="34"/>
      <c r="H11" s="33"/>
    </row>
    <row r="12" spans="2:8" ht="12.75" customHeight="1" x14ac:dyDescent="0.2">
      <c r="B12" s="3" t="s">
        <v>51</v>
      </c>
      <c r="C12" s="47">
        <v>15</v>
      </c>
      <c r="D12" s="61" t="s">
        <v>37</v>
      </c>
      <c r="E12" s="23"/>
      <c r="F12" s="29"/>
      <c r="G12" s="35"/>
      <c r="H12" s="33"/>
    </row>
    <row r="13" spans="2:8" ht="12.75" customHeight="1" x14ac:dyDescent="0.2">
      <c r="B13" s="3" t="s">
        <v>36</v>
      </c>
      <c r="C13" s="48">
        <v>101.325</v>
      </c>
      <c r="D13" s="61" t="s">
        <v>38</v>
      </c>
      <c r="E13" s="23"/>
      <c r="F13" s="29"/>
      <c r="G13" s="35"/>
      <c r="H13" s="33"/>
    </row>
    <row r="14" spans="2:8" ht="12.75" customHeight="1" x14ac:dyDescent="0.2">
      <c r="B14" s="6"/>
      <c r="C14" s="6"/>
      <c r="D14" s="6"/>
      <c r="E14" s="23"/>
      <c r="F14" s="29"/>
      <c r="G14" s="35"/>
      <c r="H14" s="33"/>
    </row>
    <row r="15" spans="2:8" ht="12.75" customHeight="1" x14ac:dyDescent="0.2">
      <c r="B15" s="43" t="s">
        <v>26</v>
      </c>
      <c r="C15" s="49"/>
      <c r="D15" s="61" t="s">
        <v>37</v>
      </c>
      <c r="E15" s="23"/>
      <c r="F15" s="29"/>
      <c r="G15" s="33"/>
      <c r="H15" s="30"/>
    </row>
    <row r="16" spans="2:8" ht="12.75" customHeight="1" x14ac:dyDescent="0.2">
      <c r="B16" s="43" t="s">
        <v>27</v>
      </c>
      <c r="C16" s="49"/>
      <c r="D16" s="61" t="s">
        <v>38</v>
      </c>
      <c r="E16" s="23"/>
      <c r="F16" s="31"/>
      <c r="G16" s="36"/>
      <c r="H16" s="33"/>
    </row>
    <row r="17" spans="1:8" ht="12.75" customHeight="1" x14ac:dyDescent="0.2">
      <c r="B17" s="3"/>
      <c r="C17" s="56">
        <v>15</v>
      </c>
      <c r="D17" s="6"/>
      <c r="E17" s="23"/>
      <c r="F17" s="31"/>
      <c r="G17" s="36"/>
      <c r="H17" s="33"/>
    </row>
    <row r="18" spans="1:8" ht="12.75" customHeight="1" x14ac:dyDescent="0.2">
      <c r="A18" s="1"/>
      <c r="B18" s="5" t="s">
        <v>6</v>
      </c>
      <c r="C18" s="62">
        <f>DensConv(ObsDens_04M(BaseDens_04M(DensConv(C10,D10,"kg/m3"), CONVERT(C12,MID(D12,2,LEN(D12)-1),"C"),CONVERT(C13,D13,"kPa")/100,C9,1),CONVERT(C15,MID(D15,2,LEN(D12)-1),"C"),CONVERT(C16,D16,"kPa")/100,C9,1),"kg/m3",D18)</f>
        <v>821.3254293281658</v>
      </c>
      <c r="D18" s="61" t="s">
        <v>8</v>
      </c>
      <c r="E18" s="2"/>
      <c r="F18" s="37"/>
      <c r="G18" s="37"/>
      <c r="H18" s="37"/>
    </row>
    <row r="19" spans="1:8" ht="12.75" customHeight="1" x14ac:dyDescent="0.2">
      <c r="A19" s="1"/>
      <c r="B19" s="3"/>
      <c r="C19" s="3"/>
      <c r="D19" s="4"/>
      <c r="E19" s="2"/>
      <c r="F19" s="25"/>
      <c r="G19" s="25"/>
      <c r="H19" s="25"/>
    </row>
    <row r="20" spans="1:8" ht="12.75" customHeight="1" x14ac:dyDescent="0.2">
      <c r="A20" s="1"/>
      <c r="B20" s="60"/>
      <c r="C20" s="60"/>
      <c r="E20" s="2"/>
    </row>
    <row r="21" spans="1:8" ht="12.75" customHeight="1" x14ac:dyDescent="0.2">
      <c r="A21" s="1"/>
      <c r="B21" s="60"/>
      <c r="C21" s="60"/>
      <c r="E21" s="2"/>
      <c r="G21" s="39"/>
      <c r="H21" s="39"/>
    </row>
    <row r="22" spans="1:8" ht="12.75" customHeight="1" x14ac:dyDescent="0.2">
      <c r="A22" s="1"/>
      <c r="B22" s="8" t="s">
        <v>31</v>
      </c>
      <c r="C22" s="55" t="s">
        <v>35</v>
      </c>
      <c r="D22" s="55" t="s">
        <v>32</v>
      </c>
      <c r="E22" s="2"/>
      <c r="F22" s="38" t="s">
        <v>30</v>
      </c>
      <c r="G22" s="39"/>
      <c r="H22" s="39"/>
    </row>
    <row r="23" spans="1:8" ht="12.75" customHeight="1" x14ac:dyDescent="0.2">
      <c r="A23" s="1"/>
      <c r="B23" s="9" t="s">
        <v>7</v>
      </c>
      <c r="C23" s="51" t="str">
        <f>C9</f>
        <v>Crude Oil</v>
      </c>
      <c r="D23" s="51" t="s">
        <v>9</v>
      </c>
      <c r="E23" s="2"/>
      <c r="F23" s="38" t="s">
        <v>28</v>
      </c>
      <c r="G23" s="41"/>
      <c r="H23" s="39"/>
    </row>
    <row r="24" spans="1:8" ht="12.75" customHeight="1" x14ac:dyDescent="0.2">
      <c r="A24" s="1"/>
      <c r="B24" s="9" t="s">
        <v>42</v>
      </c>
      <c r="C24" s="52">
        <f>DensConv(C10,D10,"kg/m3")</f>
        <v>810</v>
      </c>
      <c r="D24" s="52" t="s">
        <v>34</v>
      </c>
      <c r="E24" s="2"/>
      <c r="F24" s="40" t="s">
        <v>29</v>
      </c>
      <c r="G24" s="41"/>
      <c r="H24" s="39"/>
    </row>
    <row r="25" spans="1:8" ht="12.75" customHeight="1" x14ac:dyDescent="0.2">
      <c r="A25" s="1"/>
      <c r="B25" s="9" t="s">
        <v>43</v>
      </c>
      <c r="C25" s="52">
        <f>CONVERT(C15,MID(D15,2,LEN(D12)-1),"C")</f>
        <v>0</v>
      </c>
      <c r="D25" s="52" t="s">
        <v>37</v>
      </c>
      <c r="E25" s="2"/>
      <c r="F25" s="41"/>
      <c r="G25" s="42"/>
      <c r="H25" s="39"/>
    </row>
    <row r="26" spans="1:8" ht="12.75" customHeight="1" x14ac:dyDescent="0.2">
      <c r="A26" s="1"/>
      <c r="B26" s="9" t="s">
        <v>27</v>
      </c>
      <c r="C26" s="53">
        <f>CONVERT(C16,D16,"kPa")/100</f>
        <v>0</v>
      </c>
      <c r="D26" s="53" t="s">
        <v>39</v>
      </c>
      <c r="E26" s="2"/>
      <c r="F26" s="39"/>
      <c r="G26" s="39"/>
      <c r="H26" s="39"/>
    </row>
    <row r="27" spans="1:8" ht="12.75" customHeight="1" x14ac:dyDescent="0.2">
      <c r="A27" s="1"/>
      <c r="B27" s="9" t="s">
        <v>44</v>
      </c>
      <c r="C27" s="54">
        <f>BaseDens_04M(C24,CONVERT(C12,MID(D12,2,LEN(D12)-1),"C"),CONVERT(C13,D13,"kPa")/100,C23,4)</f>
        <v>1.0005204748647316</v>
      </c>
      <c r="D27" s="51" t="s">
        <v>9</v>
      </c>
      <c r="E27" s="2"/>
      <c r="F27" s="41"/>
      <c r="G27" s="42"/>
      <c r="H27" s="42"/>
    </row>
    <row r="28" spans="1:8" ht="12.75" customHeight="1" x14ac:dyDescent="0.2">
      <c r="B28" s="9" t="s">
        <v>45</v>
      </c>
      <c r="C28" s="54">
        <f>BaseDens_04M(C24,CONVERT(C12,MID(D12,2,LEN(D12)-1),"C"),CONVERT(C13,D13,"kPa")/100,C23,1)</f>
        <v>809.57863466939466</v>
      </c>
      <c r="D28" s="54" t="s">
        <v>34</v>
      </c>
      <c r="E28" s="2"/>
      <c r="F28" s="20"/>
      <c r="G28" s="19"/>
      <c r="H28" s="19"/>
    </row>
    <row r="29" spans="1:8" ht="12.75" customHeight="1" x14ac:dyDescent="0.2">
      <c r="B29" s="9" t="s">
        <v>46</v>
      </c>
      <c r="C29" s="54">
        <f>ObsDens_04M(C28,C25,C26,C23,3)</f>
        <v>1</v>
      </c>
      <c r="D29" s="54" t="s">
        <v>9</v>
      </c>
      <c r="E29" s="2"/>
      <c r="F29" s="20"/>
      <c r="G29" s="19"/>
      <c r="H29" s="19"/>
    </row>
    <row r="30" spans="1:8" ht="12.75" customHeight="1" x14ac:dyDescent="0.2">
      <c r="B30" s="9" t="s">
        <v>47</v>
      </c>
      <c r="C30" s="54">
        <f>ObsDens_04M(C28,C25,C26,C23,4)</f>
        <v>1.0145097636668341</v>
      </c>
      <c r="D30" s="54" t="s">
        <v>9</v>
      </c>
      <c r="E30" s="2"/>
      <c r="F30" s="20"/>
      <c r="G30" s="19"/>
      <c r="H30" s="19"/>
    </row>
    <row r="31" spans="1:8" ht="12.75" customHeight="1" x14ac:dyDescent="0.2">
      <c r="B31" s="9" t="s">
        <v>48</v>
      </c>
      <c r="C31" s="54">
        <f>ObsDens_04M(C28,C25,C26,C23,4)/C27</f>
        <v>1.0139820115165497</v>
      </c>
      <c r="D31" s="54" t="s">
        <v>9</v>
      </c>
      <c r="E31" s="2"/>
      <c r="F31" s="20"/>
      <c r="G31" s="19"/>
      <c r="H31" s="19"/>
    </row>
    <row r="32" spans="1:8" ht="12.75" customHeight="1" x14ac:dyDescent="0.2">
      <c r="B32" s="9" t="s">
        <v>41</v>
      </c>
      <c r="C32" s="54">
        <f>ObsDens_04M(C28,C25,C26,C23,5)</f>
        <v>5.2042129639284557E-4</v>
      </c>
      <c r="D32" s="54" t="s">
        <v>11</v>
      </c>
    </row>
    <row r="33" spans="2:4" ht="12.75" customHeight="1" x14ac:dyDescent="0.2">
      <c r="B33" s="9" t="s">
        <v>33</v>
      </c>
      <c r="C33" s="54">
        <f>ObsDens_04M(C28,C25,C26,C23,6)</f>
        <v>7.4549608918707913</v>
      </c>
      <c r="D33" s="54" t="s">
        <v>40</v>
      </c>
    </row>
    <row r="34" spans="2:4" ht="12.75" customHeight="1" x14ac:dyDescent="0.2">
      <c r="B34" s="9" t="s">
        <v>6</v>
      </c>
      <c r="C34" s="54">
        <f>ObsDens_04M(C28,C25,C26,C23,1)</f>
        <v>821.3254293281658</v>
      </c>
      <c r="D34" s="54" t="s">
        <v>8</v>
      </c>
    </row>
    <row r="36" spans="2:4" ht="12.75" customHeight="1" x14ac:dyDescent="0.2">
      <c r="C36" s="50"/>
    </row>
    <row r="37" spans="2:4" ht="12.75" customHeight="1" x14ac:dyDescent="0.2">
      <c r="C37" s="50"/>
    </row>
  </sheetData>
  <sheetProtection algorithmName="SHA-512" hashValue="Bt4aXev+2B6Cyp1QhZN5PyBGrag/qlF1qn1xTkVNn6Udp2GGxdDnyrOXZAe4/baT6XzPLES9jPYZXF5GAgLbGw==" saltValue="eaCsjcSHS7olKKR+Nkn+1A==" spinCount="100000" sheet="1" objects="1" scenarios="1"/>
  <dataValidations count="8">
    <dataValidation type="list" allowBlank="1" showInputMessage="1" showErrorMessage="1" sqref="C9" xr:uid="{00000000-0002-0000-0000-000000000000}">
      <formula1>Commodity</formula1>
    </dataValidation>
    <dataValidation type="list" allowBlank="1" showInputMessage="1" showErrorMessage="1" sqref="D17" xr:uid="{00000000-0002-0000-0000-000003000000}">
      <formula1>PressUnits</formula1>
    </dataValidation>
    <dataValidation allowBlank="1" showInputMessage="1" showErrorMessage="1" sqref="B11:D11" xr:uid="{3E14B2C9-C206-4516-A720-F5E00FE7A8F8}"/>
    <dataValidation type="list" allowBlank="1" showInputMessage="1" showErrorMessage="1" sqref="C7" xr:uid="{A46054B1-8F62-4BD1-9BF3-5DF41B8666A5}">
      <formula1>$F$22:$F$24</formula1>
    </dataValidation>
    <dataValidation type="list" allowBlank="1" showInputMessage="1" showErrorMessage="1" sqref="D13 D16" xr:uid="{4C204E8A-19B2-4B67-B42D-9E3D8D1C1F8D}">
      <formula1>"Pa,kPa,Mpa,atm,mmHg,psi"</formula1>
    </dataValidation>
    <dataValidation type="list" allowBlank="1" showInputMessage="1" showErrorMessage="1" sqref="D12 D15" xr:uid="{A522FD8B-F33E-4DD5-9BF4-3727C95799E1}">
      <formula1>"°C,°F,°K,°Rank"</formula1>
    </dataValidation>
    <dataValidation type="list" allowBlank="1" showInputMessage="1" showErrorMessage="1" sqref="D10 D18" xr:uid="{45A9C1E4-AD58-4971-A32E-7AC561810556}">
      <formula1>"API,kg/m3,kg/L,g/cm3,rel,Ib/ft3,Ib/In3"</formula1>
    </dataValidation>
    <dataValidation type="list" allowBlank="1" showInputMessage="1" showErrorMessage="1" sqref="C12" xr:uid="{F57FFDA9-9A6E-496F-8760-33E283B5F115}">
      <formula1>"15,20"</formula1>
    </dataValidation>
  </dataValidations>
  <pageMargins left="0.70866141732283472" right="0.70866141732283472" top="0.74803149606299213" bottom="0.74803149606299213" header="0.31496062992125984" footer="0.31496062992125984"/>
  <pageSetup paperSize="9" scale="84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5" r:id="rId4" name="OptionButton4">
          <controlPr defaultSize="0" autoLine="0" r:id="rId5">
            <anchor moveWithCells="1">
              <from>
                <xdr:col>5</xdr:col>
                <xdr:colOff>228600</xdr:colOff>
                <xdr:row>15</xdr:row>
                <xdr:rowOff>38100</xdr:rowOff>
              </from>
              <to>
                <xdr:col>6</xdr:col>
                <xdr:colOff>723900</xdr:colOff>
                <xdr:row>17</xdr:row>
                <xdr:rowOff>9525</xdr:rowOff>
              </to>
            </anchor>
          </controlPr>
        </control>
      </mc:Choice>
      <mc:Fallback>
        <control shapeId="1035" r:id="rId4" name="OptionButton4"/>
      </mc:Fallback>
    </mc:AlternateContent>
    <mc:AlternateContent xmlns:mc="http://schemas.openxmlformats.org/markup-compatibility/2006">
      <mc:Choice Requires="x14">
        <control shapeId="1034" r:id="rId6" name="OptionButton3">
          <controlPr defaultSize="0" autoLine="0" r:id="rId7">
            <anchor moveWithCells="1">
              <from>
                <xdr:col>5</xdr:col>
                <xdr:colOff>219075</xdr:colOff>
                <xdr:row>12</xdr:row>
                <xdr:rowOff>133350</xdr:rowOff>
              </from>
              <to>
                <xdr:col>6</xdr:col>
                <xdr:colOff>790575</xdr:colOff>
                <xdr:row>14</xdr:row>
                <xdr:rowOff>104775</xdr:rowOff>
              </to>
            </anchor>
          </controlPr>
        </control>
      </mc:Choice>
      <mc:Fallback>
        <control shapeId="1034" r:id="rId6" name="OptionButton3"/>
      </mc:Fallback>
    </mc:AlternateContent>
    <mc:AlternateContent xmlns:mc="http://schemas.openxmlformats.org/markup-compatibility/2006">
      <mc:Choice Requires="x14">
        <control shapeId="1029" r:id="rId8" name="OptionButton1">
          <controlPr defaultSize="0" autoLine="0" r:id="rId9">
            <anchor moveWithCells="1">
              <from>
                <xdr:col>5</xdr:col>
                <xdr:colOff>180975</xdr:colOff>
                <xdr:row>6</xdr:row>
                <xdr:rowOff>95250</xdr:rowOff>
              </from>
              <to>
                <xdr:col>7</xdr:col>
                <xdr:colOff>304800</xdr:colOff>
                <xdr:row>8</xdr:row>
                <xdr:rowOff>66675</xdr:rowOff>
              </to>
            </anchor>
          </controlPr>
        </control>
      </mc:Choice>
      <mc:Fallback>
        <control shapeId="1029" r:id="rId8" name="OptionButton1"/>
      </mc:Fallback>
    </mc:AlternateContent>
    <mc:AlternateContent xmlns:mc="http://schemas.openxmlformats.org/markup-compatibility/2006">
      <mc:Choice Requires="x14">
        <control shapeId="1030" r:id="rId10" name="OptionButton2">
          <controlPr defaultSize="0" autoLine="0" r:id="rId11">
            <anchor moveWithCells="1">
              <from>
                <xdr:col>5</xdr:col>
                <xdr:colOff>190500</xdr:colOff>
                <xdr:row>9</xdr:row>
                <xdr:rowOff>9525</xdr:rowOff>
              </from>
              <to>
                <xdr:col>7</xdr:col>
                <xdr:colOff>304800</xdr:colOff>
                <xdr:row>10</xdr:row>
                <xdr:rowOff>142875</xdr:rowOff>
              </to>
            </anchor>
          </controlPr>
        </control>
      </mc:Choice>
      <mc:Fallback>
        <control shapeId="1030" r:id="rId10" name="OptionButton2"/>
      </mc:Fallback>
    </mc:AlternateContent>
    <mc:AlternateContent xmlns:mc="http://schemas.openxmlformats.org/markup-compatibility/2006">
      <mc:Choice Requires="x14">
        <control shapeId="1028" r:id="rId12" name="Group Box 4">
          <controlPr defaultSize="0" autoFill="0" autoPict="0">
            <anchor moveWithCells="1">
              <from>
                <xdr:col>5</xdr:col>
                <xdr:colOff>28575</xdr:colOff>
                <xdr:row>5</xdr:row>
                <xdr:rowOff>19050</xdr:rowOff>
              </from>
              <to>
                <xdr:col>7</xdr:col>
                <xdr:colOff>942975</xdr:colOff>
                <xdr:row>19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H30"/>
  <sheetViews>
    <sheetView showGridLines="0" workbookViewId="0">
      <selection activeCell="C21" sqref="C21"/>
    </sheetView>
  </sheetViews>
  <sheetFormatPr defaultRowHeight="14.25" x14ac:dyDescent="0.2"/>
  <cols>
    <col min="1" max="1" width="6.875" customWidth="1"/>
    <col min="3" max="3" width="24.25" customWidth="1"/>
    <col min="5" max="5" width="3" customWidth="1"/>
    <col min="7" max="7" width="27.25" customWidth="1"/>
  </cols>
  <sheetData>
    <row r="1" spans="2:8" ht="15.75" thickBot="1" x14ac:dyDescent="0.3">
      <c r="B1" s="75" t="s">
        <v>13</v>
      </c>
      <c r="C1" s="76"/>
      <c r="D1" s="77"/>
      <c r="F1" s="78" t="s">
        <v>21</v>
      </c>
      <c r="G1" s="79"/>
      <c r="H1" s="80"/>
    </row>
    <row r="2" spans="2:8" x14ac:dyDescent="0.2">
      <c r="B2" s="10">
        <v>1</v>
      </c>
      <c r="C2" s="12" t="s">
        <v>14</v>
      </c>
      <c r="D2" s="11" t="s">
        <v>8</v>
      </c>
      <c r="F2" s="7">
        <v>1</v>
      </c>
      <c r="G2" s="12" t="s">
        <v>16</v>
      </c>
      <c r="H2" s="11"/>
    </row>
    <row r="3" spans="2:8" x14ac:dyDescent="0.2">
      <c r="B3" s="10">
        <v>2</v>
      </c>
      <c r="C3" s="12" t="s">
        <v>7</v>
      </c>
      <c r="D3" s="11"/>
      <c r="F3" s="7">
        <v>2</v>
      </c>
      <c r="G3" s="12" t="s">
        <v>17</v>
      </c>
      <c r="H3" s="11" t="s">
        <v>12</v>
      </c>
    </row>
    <row r="4" spans="2:8" x14ac:dyDescent="0.2">
      <c r="B4" s="10">
        <v>3</v>
      </c>
      <c r="C4" s="12" t="s">
        <v>2</v>
      </c>
      <c r="D4" s="11"/>
      <c r="F4" s="13">
        <v>3</v>
      </c>
      <c r="G4" s="14" t="s">
        <v>18</v>
      </c>
      <c r="H4" s="15" t="s">
        <v>8</v>
      </c>
    </row>
    <row r="5" spans="2:8" x14ac:dyDescent="0.2">
      <c r="B5" s="10">
        <v>4</v>
      </c>
      <c r="C5" s="12" t="s">
        <v>1</v>
      </c>
      <c r="D5" s="11"/>
      <c r="F5" s="13">
        <v>4</v>
      </c>
      <c r="G5" s="14" t="s">
        <v>19</v>
      </c>
      <c r="H5" s="15"/>
    </row>
    <row r="6" spans="2:8" ht="15" x14ac:dyDescent="0.25">
      <c r="B6" s="10">
        <v>5</v>
      </c>
      <c r="C6" s="12" t="s">
        <v>15</v>
      </c>
      <c r="D6" s="11" t="s">
        <v>11</v>
      </c>
      <c r="F6" s="13">
        <v>5</v>
      </c>
      <c r="G6" s="14" t="s">
        <v>20</v>
      </c>
      <c r="H6" s="15"/>
    </row>
    <row r="7" spans="2:8" x14ac:dyDescent="0.2">
      <c r="B7" s="10">
        <v>6</v>
      </c>
      <c r="C7" s="12" t="s">
        <v>10</v>
      </c>
      <c r="D7" s="11" t="s">
        <v>12</v>
      </c>
      <c r="F7" s="7"/>
      <c r="G7" s="12"/>
      <c r="H7" s="11"/>
    </row>
    <row r="8" spans="2:8" ht="15" thickBot="1" x14ac:dyDescent="0.25"/>
    <row r="9" spans="2:8" ht="15.75" thickBot="1" x14ac:dyDescent="0.3">
      <c r="B9" s="75" t="s">
        <v>13</v>
      </c>
      <c r="C9" s="76"/>
      <c r="D9" s="77"/>
      <c r="F9" s="78" t="s">
        <v>22</v>
      </c>
      <c r="G9" s="79"/>
      <c r="H9" s="80"/>
    </row>
    <row r="10" spans="2:8" x14ac:dyDescent="0.2">
      <c r="B10" s="10">
        <v>1</v>
      </c>
      <c r="C10" s="12" t="s">
        <v>14</v>
      </c>
      <c r="D10" s="11" t="s">
        <v>8</v>
      </c>
      <c r="F10" s="7">
        <v>1</v>
      </c>
      <c r="G10" s="12" t="s">
        <v>23</v>
      </c>
      <c r="H10" s="11"/>
    </row>
    <row r="11" spans="2:8" ht="15" x14ac:dyDescent="0.25">
      <c r="B11" s="10">
        <v>2</v>
      </c>
      <c r="C11" s="12" t="s">
        <v>7</v>
      </c>
      <c r="D11" s="11"/>
      <c r="F11" s="7">
        <v>2</v>
      </c>
      <c r="G11" s="12" t="s">
        <v>15</v>
      </c>
      <c r="H11" s="11" t="s">
        <v>11</v>
      </c>
    </row>
    <row r="12" spans="2:8" x14ac:dyDescent="0.2">
      <c r="B12" s="10">
        <v>3</v>
      </c>
      <c r="C12" s="12" t="s">
        <v>2</v>
      </c>
      <c r="D12" s="11"/>
      <c r="F12" s="13">
        <v>3</v>
      </c>
      <c r="G12" s="14" t="s">
        <v>18</v>
      </c>
      <c r="H12" s="15" t="s">
        <v>8</v>
      </c>
    </row>
    <row r="13" spans="2:8" x14ac:dyDescent="0.2">
      <c r="B13" s="10">
        <v>4</v>
      </c>
      <c r="C13" s="12" t="s">
        <v>1</v>
      </c>
      <c r="D13" s="11"/>
      <c r="F13" s="13">
        <v>4</v>
      </c>
      <c r="G13" s="14" t="s">
        <v>19</v>
      </c>
      <c r="H13" s="15"/>
    </row>
    <row r="14" spans="2:8" ht="15" x14ac:dyDescent="0.25">
      <c r="B14" s="10">
        <v>5</v>
      </c>
      <c r="C14" s="12" t="s">
        <v>15</v>
      </c>
      <c r="D14" s="11" t="s">
        <v>11</v>
      </c>
      <c r="F14" s="13">
        <v>5</v>
      </c>
      <c r="G14" s="14" t="s">
        <v>20</v>
      </c>
      <c r="H14" s="15"/>
    </row>
    <row r="15" spans="2:8" x14ac:dyDescent="0.2">
      <c r="B15" s="10">
        <v>6</v>
      </c>
      <c r="C15" s="12" t="s">
        <v>10</v>
      </c>
      <c r="D15" s="11" t="s">
        <v>12</v>
      </c>
      <c r="F15" s="7"/>
      <c r="G15" s="12"/>
      <c r="H15" s="11"/>
    </row>
    <row r="17" spans="2:8" x14ac:dyDescent="0.2">
      <c r="B17" s="16" t="s">
        <v>7</v>
      </c>
      <c r="C17" s="57"/>
      <c r="D17" s="58"/>
      <c r="E17" s="58"/>
      <c r="F17" s="57"/>
      <c r="G17" s="57"/>
      <c r="H17" s="58"/>
    </row>
    <row r="18" spans="2:8" x14ac:dyDescent="0.2">
      <c r="B18" s="17" t="s">
        <v>0</v>
      </c>
      <c r="C18" s="57"/>
      <c r="D18" s="58"/>
      <c r="E18" s="58"/>
      <c r="F18" s="57"/>
      <c r="G18" s="57"/>
      <c r="H18" s="58"/>
    </row>
    <row r="19" spans="2:8" x14ac:dyDescent="0.2">
      <c r="B19" s="17" t="s">
        <v>3</v>
      </c>
      <c r="C19" s="57"/>
      <c r="D19" s="58"/>
      <c r="E19" s="58"/>
      <c r="F19" s="57"/>
      <c r="G19" s="57"/>
      <c r="H19" s="58"/>
    </row>
    <row r="20" spans="2:8" x14ac:dyDescent="0.2">
      <c r="B20" s="17" t="s">
        <v>5</v>
      </c>
      <c r="C20" s="57"/>
      <c r="D20" s="58"/>
      <c r="E20" s="58"/>
      <c r="F20" s="57"/>
      <c r="G20" s="57"/>
      <c r="H20" s="58"/>
    </row>
    <row r="21" spans="2:8" x14ac:dyDescent="0.2">
      <c r="B21" s="17"/>
      <c r="C21" s="57"/>
      <c r="D21" s="58"/>
      <c r="E21" s="58"/>
      <c r="F21" s="57"/>
      <c r="G21" s="57"/>
      <c r="H21" s="58"/>
    </row>
    <row r="22" spans="2:8" x14ac:dyDescent="0.2">
      <c r="B22" s="17"/>
      <c r="C22" s="57"/>
      <c r="D22" s="58"/>
      <c r="E22" s="58"/>
      <c r="F22" s="57"/>
      <c r="G22" s="58"/>
      <c r="H22" s="58"/>
    </row>
    <row r="23" spans="2:8" x14ac:dyDescent="0.2">
      <c r="B23" s="18"/>
      <c r="C23" s="57"/>
      <c r="D23" s="58"/>
      <c r="E23" s="58"/>
      <c r="F23" s="57"/>
      <c r="G23" s="58"/>
      <c r="H23" s="58"/>
    </row>
    <row r="24" spans="2:8" ht="16.5" x14ac:dyDescent="0.3">
      <c r="B24" s="18"/>
      <c r="C24" s="57"/>
      <c r="D24" s="58"/>
      <c r="E24" s="58"/>
      <c r="F24" s="58"/>
      <c r="G24" s="59"/>
      <c r="H24" s="58"/>
    </row>
    <row r="25" spans="2:8" x14ac:dyDescent="0.2">
      <c r="B25" s="18"/>
      <c r="C25" s="57"/>
      <c r="D25" s="58"/>
      <c r="E25" s="58"/>
      <c r="F25" s="58"/>
      <c r="G25" s="58"/>
      <c r="H25" s="58"/>
    </row>
    <row r="26" spans="2:8" x14ac:dyDescent="0.2">
      <c r="B26" s="18"/>
      <c r="C26" s="58"/>
      <c r="D26" s="58"/>
      <c r="E26" s="58"/>
      <c r="F26" s="58"/>
      <c r="G26" s="58"/>
      <c r="H26" s="58"/>
    </row>
    <row r="27" spans="2:8" x14ac:dyDescent="0.2">
      <c r="C27" s="58"/>
      <c r="D27" s="58"/>
      <c r="E27" s="58"/>
      <c r="F27" s="58"/>
      <c r="G27" s="58"/>
      <c r="H27" s="58"/>
    </row>
    <row r="28" spans="2:8" x14ac:dyDescent="0.2">
      <c r="C28" s="58"/>
      <c r="D28" s="58"/>
      <c r="E28" s="58"/>
      <c r="F28" s="58"/>
      <c r="G28" s="58"/>
      <c r="H28" s="58"/>
    </row>
    <row r="29" spans="2:8" x14ac:dyDescent="0.2">
      <c r="C29" s="58"/>
      <c r="D29" s="58"/>
      <c r="E29" s="58"/>
      <c r="F29" s="58"/>
      <c r="G29" s="58"/>
      <c r="H29" s="58"/>
    </row>
    <row r="30" spans="2:8" x14ac:dyDescent="0.2">
      <c r="C30" s="58"/>
      <c r="D30" s="58"/>
      <c r="E30" s="58"/>
      <c r="F30" s="58"/>
      <c r="G30" s="58"/>
      <c r="H30" s="58"/>
    </row>
  </sheetData>
  <sheetProtection algorithmName="SHA-512" hashValue="+qbqk1J/5DQlPQ+0i/t/z4SdxqfPdGiBdzyePFZ+WXjwVhzM8kVaP51xwEBB9zGcy+Imwk3Fxe+Zc85olNSgZw==" saltValue="l59sX1/CY+Bf04+LR1k3yQ==" spinCount="100000" sheet="1" objects="1" scenarios="1"/>
  <mergeCells count="4">
    <mergeCell ref="B1:D1"/>
    <mergeCell ref="F1:H1"/>
    <mergeCell ref="B9:D9"/>
    <mergeCell ref="F9:H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1</vt:i4>
      </vt:variant>
      <vt:variant>
        <vt:lpstr>Imenovani obsegi</vt:lpstr>
      </vt:variant>
      <vt:variant>
        <vt:i4>3</vt:i4>
      </vt:variant>
    </vt:vector>
  </HeadingPairs>
  <TitlesOfParts>
    <vt:vector size="4" baseType="lpstr">
      <vt:lpstr>Density</vt:lpstr>
      <vt:lpstr>Base</vt:lpstr>
      <vt:lpstr>Commodity</vt:lpstr>
      <vt:lpstr>Selector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Milenko_Manojlovic</dc:creator>
  <cp:lastModifiedBy>milenko manojlovic</cp:lastModifiedBy>
  <cp:lastPrinted>2020-10-01T21:44:46Z</cp:lastPrinted>
  <dcterms:created xsi:type="dcterms:W3CDTF">2010-02-26T15:54:18Z</dcterms:created>
  <dcterms:modified xsi:type="dcterms:W3CDTF">2021-06-14T16:55:12Z</dcterms:modified>
</cp:coreProperties>
</file>