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_manojlovic_mimo-ms_com/Documents/Software Dev/MIMO Web/MIMO_WEB_ENG/MIMO-WEB-MVC/MIMO-WEB-MVC/Modules/"/>
    </mc:Choice>
  </mc:AlternateContent>
  <xr:revisionPtr revIDLastSave="1108" documentId="8_{CD9EC4AA-F1B7-4DBF-8CE5-46A04668A2CF}" xr6:coauthVersionLast="47" xr6:coauthVersionMax="47" xr10:uidLastSave="{476225B3-061D-45B0-BE3C-3EB40FE2968A}"/>
  <bookViews>
    <workbookView xWindow="-120" yWindow="-120" windowWidth="29040" windowHeight="15840" xr2:uid="{00000000-000D-0000-FFFF-FFFF00000000}"/>
  </bookViews>
  <sheets>
    <sheet name="Dashboard" sheetId="32" r:id="rId1"/>
    <sheet name="Calculation" sheetId="39" r:id="rId2"/>
    <sheet name="Prove_History" sheetId="37" r:id="rId3"/>
  </sheets>
  <functionGroups builtInGroupCount="19"/>
  <definedNames>
    <definedName name="_xlnm._FilterDatabase" localSheetId="2" hidden="1">Prove_History!#REF!</definedName>
    <definedName name="Detectors">Dashboard!$G$39:$J$39</definedName>
    <definedName name="Hist_Start">Prove_History!$A$1</definedName>
    <definedName name="KFS">OFFSET(Prove_History!$BU$2,0,0,COUNTA(Prove_History!$BU:$BU),1)</definedName>
    <definedName name="Location">OFFSET(Prove_History!$D$2,0,0,COUNTA(Prove_History!$D:$D),1)</definedName>
    <definedName name="MeterMake">OFFSET(Prove_History!$F$2,0,0,COUNTA(Prove_History!$F:$F),1)</definedName>
    <definedName name="MeterMan">OFFSET(Prove_History!$E$2,0,0,COUNTA(Prove_History!$E:$E),1)</definedName>
    <definedName name="MeterNo">OFFSET(Dashboard!$B$38,0,0,COUNTA(Dashboard!$B$38:$B$58),1)</definedName>
    <definedName name="MeterSerials">OFFSET(Prove_History!$G$2,0,0,COUNTA(Prove_History!$G:$G),1)</definedName>
    <definedName name="MeterSize">OFFSET(Prove_History!$H$2,0,0,COUNTA(Prove_History!$H:$H),1)</definedName>
    <definedName name="MeterTags">OFFSET(Prove_History!$J$2,0,0,COUNTA(Prove_History!$J:$J),1)</definedName>
    <definedName name="NoFlows">Dashboard!$E$28</definedName>
    <definedName name="NomKFS">OFFSET(Prove_History!$I$2,0,0,COUNTA(Prove_History!$I:$I),1)</definedName>
    <definedName name="_xlnm.Print_Area" localSheetId="0">Dashboard!$A$1:$N$72</definedName>
    <definedName name="ProveNo">Dashboard!$D$30</definedName>
    <definedName name="RepNo">OFFSET(Prove_History!$A$2,0,0,COUNTA(Prove_History!$A:$A),1)</definedName>
    <definedName name="RepTags">Prove_History!$A$1:$BW$1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8" i="37" l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A139" i="37" s="1"/>
  <c r="A140" i="37" s="1"/>
  <c r="A141" i="37" s="1"/>
  <c r="A142" i="37" s="1"/>
  <c r="A144" i="37" s="1"/>
  <c r="A145" i="37" s="1"/>
  <c r="A146" i="37" s="1"/>
  <c r="A147" i="37" s="1"/>
  <c r="A148" i="37" s="1"/>
  <c r="A149" i="37" s="1"/>
  <c r="A150" i="37" s="1"/>
  <c r="A151" i="37" s="1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62" i="37" s="1"/>
  <c r="A163" i="37" s="1"/>
  <c r="A164" i="37" s="1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75" i="37" s="1"/>
  <c r="A176" i="37" s="1"/>
  <c r="A177" i="37" s="1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88" i="37" s="1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A201" i="37" s="1"/>
  <c r="A202" i="37" s="1"/>
  <c r="A203" i="37" s="1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14" i="37" s="1"/>
  <c r="A215" i="37" s="1"/>
  <c r="A216" i="37" s="1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27" i="37" s="1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A240" i="37" s="1"/>
  <c r="A241" i="37" s="1"/>
  <c r="A242" i="37" s="1"/>
  <c r="A243" i="37" s="1"/>
  <c r="A244" i="37" s="1"/>
  <c r="A245" i="37" s="1"/>
  <c r="A246" i="37" s="1"/>
  <c r="A3" i="37"/>
  <c r="A4" i="37" s="1"/>
  <c r="A5" i="37" s="1"/>
  <c r="A6" i="37" s="1"/>
  <c r="A7" i="37" s="1"/>
  <c r="A8" i="37" s="1"/>
  <c r="A9" i="37" s="1"/>
  <c r="A10" i="37" s="1"/>
  <c r="A11" i="37" s="1"/>
  <c r="A15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BV246" i="37"/>
  <c r="BV245" i="37"/>
  <c r="BV244" i="37"/>
  <c r="BV243" i="37"/>
  <c r="BV242" i="37"/>
  <c r="BV241" i="37"/>
  <c r="BV240" i="37"/>
  <c r="BV239" i="37"/>
  <c r="BV238" i="37"/>
  <c r="BV237" i="37"/>
  <c r="BV236" i="37"/>
  <c r="BV235" i="37"/>
  <c r="BV234" i="37"/>
  <c r="BV233" i="37"/>
  <c r="BV232" i="37"/>
  <c r="BV231" i="37"/>
  <c r="BV230" i="37"/>
  <c r="BV229" i="37"/>
  <c r="BV228" i="37"/>
  <c r="BV227" i="37"/>
  <c r="BV226" i="37"/>
  <c r="BV225" i="37"/>
  <c r="BV224" i="37"/>
  <c r="BV223" i="37"/>
  <c r="BV222" i="37"/>
  <c r="BV221" i="37"/>
  <c r="BV220" i="37"/>
  <c r="BV219" i="37"/>
  <c r="BV218" i="37"/>
  <c r="BV217" i="37"/>
  <c r="BV216" i="37"/>
  <c r="BV215" i="37"/>
  <c r="BV214" i="37"/>
  <c r="BV213" i="37"/>
  <c r="BV212" i="37"/>
  <c r="BV211" i="37"/>
  <c r="BV210" i="37"/>
  <c r="BV209" i="37"/>
  <c r="BV208" i="37"/>
  <c r="BV207" i="37"/>
  <c r="BV206" i="37"/>
  <c r="BV205" i="37"/>
  <c r="BV204" i="37"/>
  <c r="BV203" i="37"/>
  <c r="BV202" i="37"/>
  <c r="BV201" i="37"/>
  <c r="BV200" i="37"/>
  <c r="BV199" i="37"/>
  <c r="BV198" i="37"/>
  <c r="BV197" i="37"/>
  <c r="BV196" i="37"/>
  <c r="BV195" i="37"/>
  <c r="BV194" i="37"/>
  <c r="BV193" i="37"/>
  <c r="BV192" i="37"/>
  <c r="BV191" i="37"/>
  <c r="BV190" i="37"/>
  <c r="BV189" i="37"/>
  <c r="BV188" i="37"/>
  <c r="BV187" i="37"/>
  <c r="BV186" i="37"/>
  <c r="BV185" i="37"/>
  <c r="BV184" i="37"/>
  <c r="BV183" i="37"/>
  <c r="BV182" i="37"/>
  <c r="BV181" i="37"/>
  <c r="BV180" i="37"/>
  <c r="BV179" i="37"/>
  <c r="BV178" i="37"/>
  <c r="BV177" i="37"/>
  <c r="BV176" i="37"/>
  <c r="BV175" i="37"/>
  <c r="BV174" i="37"/>
  <c r="BV173" i="37"/>
  <c r="BV172" i="37"/>
  <c r="BV171" i="37"/>
  <c r="BV170" i="37"/>
  <c r="BV169" i="37"/>
  <c r="BV168" i="37"/>
  <c r="BV167" i="37"/>
  <c r="BV166" i="37"/>
  <c r="BV165" i="37"/>
  <c r="BV164" i="37"/>
  <c r="BV163" i="37"/>
  <c r="BV162" i="37"/>
  <c r="BV161" i="37"/>
  <c r="BV160" i="37"/>
  <c r="BV159" i="37"/>
  <c r="BV158" i="37"/>
  <c r="BV157" i="37"/>
  <c r="BV156" i="37"/>
  <c r="BV155" i="37"/>
  <c r="BV154" i="37"/>
  <c r="BV153" i="37"/>
  <c r="BV152" i="37"/>
  <c r="BV151" i="37"/>
  <c r="BV150" i="37"/>
  <c r="BV149" i="37"/>
  <c r="BV148" i="37"/>
  <c r="BV147" i="37"/>
  <c r="BV146" i="37"/>
  <c r="BV145" i="37"/>
  <c r="BV144" i="37"/>
  <c r="BV142" i="37"/>
  <c r="BV141" i="37"/>
  <c r="BV140" i="37"/>
  <c r="BV139" i="37"/>
  <c r="BV138" i="37"/>
  <c r="BV137" i="37"/>
  <c r="BV136" i="37"/>
  <c r="BV135" i="37"/>
  <c r="BV134" i="37"/>
  <c r="BV133" i="37"/>
  <c r="BV132" i="37"/>
  <c r="BV131" i="37"/>
  <c r="BV130" i="37"/>
  <c r="BV129" i="37"/>
  <c r="BV128" i="37"/>
  <c r="BV127" i="37"/>
  <c r="BV126" i="37"/>
  <c r="BV125" i="37"/>
  <c r="BV124" i="37"/>
  <c r="BV123" i="37"/>
  <c r="BV122" i="37"/>
  <c r="BV121" i="37"/>
  <c r="BV120" i="37"/>
  <c r="BV119" i="37"/>
  <c r="BV118" i="37"/>
  <c r="BV117" i="37"/>
  <c r="BV116" i="37"/>
  <c r="BV115" i="37"/>
  <c r="BV114" i="37"/>
  <c r="BV113" i="37"/>
  <c r="BV112" i="37"/>
  <c r="BV111" i="37"/>
  <c r="BV110" i="37"/>
  <c r="BV109" i="37"/>
  <c r="BV108" i="37"/>
  <c r="BV107" i="37"/>
  <c r="BV106" i="37"/>
  <c r="BV105" i="37"/>
  <c r="BV104" i="37"/>
  <c r="BV103" i="37"/>
  <c r="BV102" i="37"/>
  <c r="BV101" i="37"/>
  <c r="BV100" i="37"/>
  <c r="BV99" i="37"/>
  <c r="BV98" i="37"/>
  <c r="BV97" i="37"/>
  <c r="BV96" i="37"/>
  <c r="BV95" i="37"/>
  <c r="BV94" i="37"/>
  <c r="BV93" i="37"/>
  <c r="BV92" i="37"/>
  <c r="BV91" i="37"/>
  <c r="BV90" i="37"/>
  <c r="BV89" i="37"/>
  <c r="BV88" i="37"/>
  <c r="BV87" i="37"/>
  <c r="BV86" i="37"/>
  <c r="BV85" i="37"/>
  <c r="BV84" i="37"/>
  <c r="BV83" i="37"/>
  <c r="BV82" i="37"/>
  <c r="BV81" i="37"/>
  <c r="BV80" i="37"/>
  <c r="BV79" i="37"/>
  <c r="BV78" i="37"/>
  <c r="BV77" i="37"/>
  <c r="BV76" i="37"/>
  <c r="BV75" i="37"/>
  <c r="BV74" i="37"/>
  <c r="BV73" i="37"/>
  <c r="BV72" i="37"/>
  <c r="BV71" i="37"/>
  <c r="BV70" i="37"/>
  <c r="BV69" i="37"/>
  <c r="BV68" i="37"/>
  <c r="BV67" i="37"/>
  <c r="BV66" i="37"/>
  <c r="BV65" i="37"/>
  <c r="BV64" i="37"/>
  <c r="BV63" i="37"/>
  <c r="BV62" i="37"/>
  <c r="BV61" i="37"/>
  <c r="BV60" i="37"/>
  <c r="BV59" i="37"/>
  <c r="BV58" i="37"/>
  <c r="BV57" i="37"/>
  <c r="BV56" i="37"/>
  <c r="BV55" i="37"/>
  <c r="BV54" i="37"/>
  <c r="BV53" i="37"/>
  <c r="BV52" i="37"/>
  <c r="BV51" i="37"/>
  <c r="BV50" i="37"/>
  <c r="BV49" i="37"/>
  <c r="BV48" i="37"/>
  <c r="BV46" i="37"/>
  <c r="BV45" i="37"/>
  <c r="BV44" i="37"/>
  <c r="BV43" i="37"/>
  <c r="BV42" i="37"/>
  <c r="BV41" i="37"/>
  <c r="BV40" i="37"/>
  <c r="BV39" i="37"/>
  <c r="BV38" i="37"/>
  <c r="BV37" i="37"/>
  <c r="BV36" i="37"/>
  <c r="BV35" i="37"/>
  <c r="BV34" i="37"/>
  <c r="BV33" i="37"/>
  <c r="BV32" i="37"/>
  <c r="BV31" i="37"/>
  <c r="BV30" i="37"/>
  <c r="BV29" i="37"/>
  <c r="BV28" i="37"/>
  <c r="BV26" i="37"/>
  <c r="BV25" i="37"/>
  <c r="BV24" i="37"/>
  <c r="BV23" i="37"/>
  <c r="BV22" i="37"/>
  <c r="BV21" i="37"/>
  <c r="BV20" i="37"/>
  <c r="BV19" i="37"/>
  <c r="BV18" i="37"/>
  <c r="BV17" i="37"/>
  <c r="BV15" i="37"/>
  <c r="BV11" i="37"/>
  <c r="BV10" i="37"/>
  <c r="BV9" i="37"/>
  <c r="BV8" i="37"/>
  <c r="BV7" i="37"/>
  <c r="BV6" i="37"/>
  <c r="BV5" i="37"/>
  <c r="BV4" i="37"/>
  <c r="BV3" i="37"/>
  <c r="BV2" i="37"/>
  <c r="BT246" i="37"/>
  <c r="BT245" i="37"/>
  <c r="BT244" i="37"/>
  <c r="BT243" i="37"/>
  <c r="BT242" i="37"/>
  <c r="BT241" i="37"/>
  <c r="BT240" i="37"/>
  <c r="BT239" i="37"/>
  <c r="BT238" i="37"/>
  <c r="BT237" i="37"/>
  <c r="BT236" i="37"/>
  <c r="BT235" i="37"/>
  <c r="BT234" i="37"/>
  <c r="BT233" i="37"/>
  <c r="BT232" i="37"/>
  <c r="BT231" i="37"/>
  <c r="BT230" i="37"/>
  <c r="BT229" i="37"/>
  <c r="BT228" i="37"/>
  <c r="BT227" i="37"/>
  <c r="BT226" i="37"/>
  <c r="BT225" i="37"/>
  <c r="BT224" i="37"/>
  <c r="BT223" i="37"/>
  <c r="BT222" i="37"/>
  <c r="BT221" i="37"/>
  <c r="BT220" i="37"/>
  <c r="BT219" i="37"/>
  <c r="BT218" i="37"/>
  <c r="BT217" i="37"/>
  <c r="BT216" i="37"/>
  <c r="BT215" i="37"/>
  <c r="BT214" i="37"/>
  <c r="BT213" i="37"/>
  <c r="BT212" i="37"/>
  <c r="BT211" i="37"/>
  <c r="BT210" i="37"/>
  <c r="BT209" i="37"/>
  <c r="BT208" i="37"/>
  <c r="BT207" i="37"/>
  <c r="BT206" i="37"/>
  <c r="BT205" i="37"/>
  <c r="BT204" i="37"/>
  <c r="BT203" i="37"/>
  <c r="BT202" i="37"/>
  <c r="BT201" i="37"/>
  <c r="BT200" i="37"/>
  <c r="BT199" i="37"/>
  <c r="BT198" i="37"/>
  <c r="BT197" i="37"/>
  <c r="BT196" i="37"/>
  <c r="BT195" i="37"/>
  <c r="BT194" i="37"/>
  <c r="BT193" i="37"/>
  <c r="BT192" i="37"/>
  <c r="BT191" i="37"/>
  <c r="BT190" i="37"/>
  <c r="BT189" i="37"/>
  <c r="BT188" i="37"/>
  <c r="BT187" i="37"/>
  <c r="BT186" i="37"/>
  <c r="BT185" i="37"/>
  <c r="BT184" i="37"/>
  <c r="BT183" i="37"/>
  <c r="BT182" i="37"/>
  <c r="BT181" i="37"/>
  <c r="BT180" i="37"/>
  <c r="BT179" i="37"/>
  <c r="BT178" i="37"/>
  <c r="BT177" i="37"/>
  <c r="BT176" i="37"/>
  <c r="BT175" i="37"/>
  <c r="BT174" i="37"/>
  <c r="BT173" i="37"/>
  <c r="BT172" i="37"/>
  <c r="BT171" i="37"/>
  <c r="BT170" i="37"/>
  <c r="BT169" i="37"/>
  <c r="BT168" i="37"/>
  <c r="BT167" i="37"/>
  <c r="BT166" i="37"/>
  <c r="BT165" i="37"/>
  <c r="BT164" i="37"/>
  <c r="BT163" i="37"/>
  <c r="BT162" i="37"/>
  <c r="BT161" i="37"/>
  <c r="BT160" i="37"/>
  <c r="BT159" i="37"/>
  <c r="BT158" i="37"/>
  <c r="BT157" i="37"/>
  <c r="BT156" i="37"/>
  <c r="BT155" i="37"/>
  <c r="BT154" i="37"/>
  <c r="BT153" i="37"/>
  <c r="BT152" i="37"/>
  <c r="BT151" i="37"/>
  <c r="BT150" i="37"/>
  <c r="BT149" i="37"/>
  <c r="BT148" i="37"/>
  <c r="BT147" i="37"/>
  <c r="BT146" i="37"/>
  <c r="BT145" i="37"/>
  <c r="BT144" i="37"/>
  <c r="BT142" i="37"/>
  <c r="BT141" i="37"/>
  <c r="BT140" i="37"/>
  <c r="BT139" i="37"/>
  <c r="BT138" i="37"/>
  <c r="BT137" i="37"/>
  <c r="BT136" i="37"/>
  <c r="BT135" i="37"/>
  <c r="BT134" i="37"/>
  <c r="BT133" i="37"/>
  <c r="BT132" i="37"/>
  <c r="BT131" i="37"/>
  <c r="BT130" i="37"/>
  <c r="BT129" i="37"/>
  <c r="BT128" i="37"/>
  <c r="BT127" i="37"/>
  <c r="BT126" i="37"/>
  <c r="BT125" i="37"/>
  <c r="BT124" i="37"/>
  <c r="BT123" i="37"/>
  <c r="BT122" i="37"/>
  <c r="BT121" i="37"/>
  <c r="BT120" i="37"/>
  <c r="BT119" i="37"/>
  <c r="BT118" i="37"/>
  <c r="BT117" i="37"/>
  <c r="BT116" i="37"/>
  <c r="BT115" i="37"/>
  <c r="BT114" i="37"/>
  <c r="BT113" i="37"/>
  <c r="BT112" i="37"/>
  <c r="BT111" i="37"/>
  <c r="BT110" i="37"/>
  <c r="BT109" i="37"/>
  <c r="BT108" i="37"/>
  <c r="BT107" i="37"/>
  <c r="BT106" i="37"/>
  <c r="BT105" i="37"/>
  <c r="BT104" i="37"/>
  <c r="BT103" i="37"/>
  <c r="BT102" i="37"/>
  <c r="BT101" i="37"/>
  <c r="BT100" i="37"/>
  <c r="BT99" i="37"/>
  <c r="BT98" i="37"/>
  <c r="BT97" i="37"/>
  <c r="BT96" i="37"/>
  <c r="BT95" i="37"/>
  <c r="BT94" i="37"/>
  <c r="BT93" i="37"/>
  <c r="BT92" i="37"/>
  <c r="BT91" i="37"/>
  <c r="BT90" i="37"/>
  <c r="BT89" i="37"/>
  <c r="BT88" i="37"/>
  <c r="BT87" i="37"/>
  <c r="BT86" i="37"/>
  <c r="BT85" i="37"/>
  <c r="BT84" i="37"/>
  <c r="BT83" i="37"/>
  <c r="BT82" i="37"/>
  <c r="BT81" i="37"/>
  <c r="BT80" i="37"/>
  <c r="BT79" i="37"/>
  <c r="BT78" i="37"/>
  <c r="BT77" i="37"/>
  <c r="BT76" i="37"/>
  <c r="BT75" i="37"/>
  <c r="BT74" i="37"/>
  <c r="BT73" i="37"/>
  <c r="BT72" i="37"/>
  <c r="BT71" i="37"/>
  <c r="BT70" i="37"/>
  <c r="BT69" i="37"/>
  <c r="BT68" i="37"/>
  <c r="BT67" i="37"/>
  <c r="BT66" i="37"/>
  <c r="BT65" i="37"/>
  <c r="BT64" i="37"/>
  <c r="BT63" i="37"/>
  <c r="BT62" i="37"/>
  <c r="BT61" i="37"/>
  <c r="BT60" i="37"/>
  <c r="BT59" i="37"/>
  <c r="BT58" i="37"/>
  <c r="BT57" i="37"/>
  <c r="BT56" i="37"/>
  <c r="BT55" i="37"/>
  <c r="BT54" i="37"/>
  <c r="BT53" i="37"/>
  <c r="BT52" i="37"/>
  <c r="BT51" i="37"/>
  <c r="BT50" i="37"/>
  <c r="BT49" i="37"/>
  <c r="BT48" i="37"/>
  <c r="BT46" i="37"/>
  <c r="BT45" i="37"/>
  <c r="BT44" i="37"/>
  <c r="BT43" i="37"/>
  <c r="BT42" i="37"/>
  <c r="BT41" i="37"/>
  <c r="BT40" i="37"/>
  <c r="BT39" i="37"/>
  <c r="BT38" i="37"/>
  <c r="BT37" i="37"/>
  <c r="BT36" i="37"/>
  <c r="BT35" i="37"/>
  <c r="BT34" i="37"/>
  <c r="BT33" i="37"/>
  <c r="BT32" i="37"/>
  <c r="BT31" i="37"/>
  <c r="BT30" i="37"/>
  <c r="BT29" i="37"/>
  <c r="BT28" i="37"/>
  <c r="BT26" i="37"/>
  <c r="BT25" i="37"/>
  <c r="BT24" i="37"/>
  <c r="BT23" i="37"/>
  <c r="BT22" i="37"/>
  <c r="BT21" i="37"/>
  <c r="BT20" i="37"/>
  <c r="BT19" i="37"/>
  <c r="BT18" i="37"/>
  <c r="BT17" i="37"/>
  <c r="BT15" i="37"/>
  <c r="BT11" i="37"/>
  <c r="BT10" i="37"/>
  <c r="BT9" i="37"/>
  <c r="BT8" i="37"/>
  <c r="BT7" i="37"/>
  <c r="BT6" i="37"/>
  <c r="BT5" i="37"/>
  <c r="BT4" i="37"/>
  <c r="BT3" i="37"/>
  <c r="BT2" i="37"/>
  <c r="BQ246" i="37"/>
  <c r="BQ245" i="37"/>
  <c r="BQ244" i="37"/>
  <c r="BQ243" i="37"/>
  <c r="BQ242" i="37"/>
  <c r="BQ241" i="37"/>
  <c r="BQ240" i="37"/>
  <c r="BQ239" i="37"/>
  <c r="BQ238" i="37"/>
  <c r="BQ237" i="37"/>
  <c r="BQ236" i="37"/>
  <c r="BQ235" i="37"/>
  <c r="BQ234" i="37"/>
  <c r="BQ233" i="37"/>
  <c r="BQ232" i="37"/>
  <c r="BQ231" i="37"/>
  <c r="BQ230" i="37"/>
  <c r="BQ229" i="37"/>
  <c r="BQ228" i="37"/>
  <c r="BQ227" i="37"/>
  <c r="BQ226" i="37"/>
  <c r="BQ225" i="37"/>
  <c r="BQ224" i="37"/>
  <c r="BQ223" i="37"/>
  <c r="BQ222" i="37"/>
  <c r="BQ221" i="37"/>
  <c r="BQ220" i="37"/>
  <c r="BQ219" i="37"/>
  <c r="BQ218" i="37"/>
  <c r="BQ217" i="37"/>
  <c r="BQ216" i="37"/>
  <c r="BQ215" i="37"/>
  <c r="BQ214" i="37"/>
  <c r="BQ213" i="37"/>
  <c r="BQ212" i="37"/>
  <c r="BQ211" i="37"/>
  <c r="BQ210" i="37"/>
  <c r="BQ209" i="37"/>
  <c r="BQ208" i="37"/>
  <c r="BQ207" i="37"/>
  <c r="BQ206" i="37"/>
  <c r="BQ205" i="37"/>
  <c r="BQ204" i="37"/>
  <c r="BQ203" i="37"/>
  <c r="BQ202" i="37"/>
  <c r="BQ201" i="37"/>
  <c r="BQ200" i="37"/>
  <c r="BQ199" i="37"/>
  <c r="BQ198" i="37"/>
  <c r="BQ197" i="37"/>
  <c r="BQ196" i="37"/>
  <c r="BQ195" i="37"/>
  <c r="BQ194" i="37"/>
  <c r="BQ193" i="37"/>
  <c r="BQ192" i="37"/>
  <c r="BQ191" i="37"/>
  <c r="BQ190" i="37"/>
  <c r="BQ189" i="37"/>
  <c r="BQ188" i="37"/>
  <c r="BQ187" i="37"/>
  <c r="BQ186" i="37"/>
  <c r="BQ185" i="37"/>
  <c r="BQ184" i="37"/>
  <c r="BQ183" i="37"/>
  <c r="BQ182" i="37"/>
  <c r="BQ181" i="37"/>
  <c r="BQ180" i="37"/>
  <c r="BQ179" i="37"/>
  <c r="BQ178" i="37"/>
  <c r="BQ177" i="37"/>
  <c r="BQ176" i="37"/>
  <c r="BQ175" i="37"/>
  <c r="BQ174" i="37"/>
  <c r="BQ173" i="37"/>
  <c r="BQ172" i="37"/>
  <c r="BQ171" i="37"/>
  <c r="BQ170" i="37"/>
  <c r="BQ169" i="37"/>
  <c r="BQ168" i="37"/>
  <c r="BQ167" i="37"/>
  <c r="BQ166" i="37"/>
  <c r="BQ165" i="37"/>
  <c r="BQ164" i="37"/>
  <c r="BQ163" i="37"/>
  <c r="BQ162" i="37"/>
  <c r="BQ161" i="37"/>
  <c r="BQ160" i="37"/>
  <c r="BQ159" i="37"/>
  <c r="BQ158" i="37"/>
  <c r="BQ157" i="37"/>
  <c r="BQ156" i="37"/>
  <c r="BQ155" i="37"/>
  <c r="BQ154" i="37"/>
  <c r="BQ153" i="37"/>
  <c r="BQ152" i="37"/>
  <c r="BQ151" i="37"/>
  <c r="BQ150" i="37"/>
  <c r="BQ149" i="37"/>
  <c r="BQ148" i="37"/>
  <c r="BQ147" i="37"/>
  <c r="BQ146" i="37"/>
  <c r="BQ145" i="37"/>
  <c r="BQ144" i="37"/>
  <c r="BQ142" i="37"/>
  <c r="BQ141" i="37"/>
  <c r="BQ140" i="37"/>
  <c r="BQ139" i="37"/>
  <c r="BQ138" i="37"/>
  <c r="BQ137" i="37"/>
  <c r="BQ136" i="37"/>
  <c r="BQ135" i="37"/>
  <c r="BQ134" i="37"/>
  <c r="BQ133" i="37"/>
  <c r="BQ132" i="37"/>
  <c r="BQ131" i="37"/>
  <c r="BQ130" i="37"/>
  <c r="BQ129" i="37"/>
  <c r="BQ128" i="37"/>
  <c r="BQ127" i="37"/>
  <c r="BQ126" i="37"/>
  <c r="BQ125" i="37"/>
  <c r="BQ124" i="37"/>
  <c r="BQ123" i="37"/>
  <c r="BQ122" i="37"/>
  <c r="BQ121" i="37"/>
  <c r="BQ120" i="37"/>
  <c r="BQ119" i="37"/>
  <c r="BQ118" i="37"/>
  <c r="BQ117" i="37"/>
  <c r="BQ116" i="37"/>
  <c r="BQ115" i="37"/>
  <c r="BQ114" i="37"/>
  <c r="BQ113" i="37"/>
  <c r="BQ112" i="37"/>
  <c r="BQ111" i="37"/>
  <c r="BQ110" i="37"/>
  <c r="BQ109" i="37"/>
  <c r="BQ108" i="37"/>
  <c r="BQ107" i="37"/>
  <c r="BQ106" i="37"/>
  <c r="BQ105" i="37"/>
  <c r="BQ104" i="37"/>
  <c r="BQ103" i="37"/>
  <c r="BQ102" i="37"/>
  <c r="BQ101" i="37"/>
  <c r="BQ100" i="37"/>
  <c r="BQ99" i="37"/>
  <c r="BQ98" i="37"/>
  <c r="BQ97" i="37"/>
  <c r="BQ96" i="37"/>
  <c r="BQ95" i="37"/>
  <c r="BQ94" i="37"/>
  <c r="BQ93" i="37"/>
  <c r="BQ92" i="37"/>
  <c r="BQ91" i="37"/>
  <c r="BQ90" i="37"/>
  <c r="BQ89" i="37"/>
  <c r="BQ88" i="37"/>
  <c r="BQ87" i="37"/>
  <c r="BQ86" i="37"/>
  <c r="BQ85" i="37"/>
  <c r="BQ84" i="37"/>
  <c r="BQ83" i="37"/>
  <c r="BQ82" i="37"/>
  <c r="BQ81" i="37"/>
  <c r="BQ80" i="37"/>
  <c r="BQ79" i="37"/>
  <c r="BQ78" i="37"/>
  <c r="BQ77" i="37"/>
  <c r="BQ76" i="37"/>
  <c r="BQ75" i="37"/>
  <c r="BQ74" i="37"/>
  <c r="BQ73" i="37"/>
  <c r="BQ72" i="37"/>
  <c r="BQ71" i="37"/>
  <c r="BQ70" i="37"/>
  <c r="BQ69" i="37"/>
  <c r="BQ68" i="37"/>
  <c r="BQ67" i="37"/>
  <c r="BQ66" i="37"/>
  <c r="BQ65" i="37"/>
  <c r="BQ64" i="37"/>
  <c r="BQ63" i="37"/>
  <c r="BQ62" i="37"/>
  <c r="BQ61" i="37"/>
  <c r="BQ60" i="37"/>
  <c r="BQ59" i="37"/>
  <c r="BQ58" i="37"/>
  <c r="BQ57" i="37"/>
  <c r="BQ56" i="37"/>
  <c r="BQ55" i="37"/>
  <c r="BQ54" i="37"/>
  <c r="BQ53" i="37"/>
  <c r="BQ52" i="37"/>
  <c r="BQ51" i="37"/>
  <c r="BQ50" i="37"/>
  <c r="BQ49" i="37"/>
  <c r="BQ48" i="37"/>
  <c r="BQ46" i="37"/>
  <c r="BQ45" i="37"/>
  <c r="BQ44" i="37"/>
  <c r="BQ43" i="37"/>
  <c r="BQ42" i="37"/>
  <c r="BQ41" i="37"/>
  <c r="BQ40" i="37"/>
  <c r="BQ39" i="37"/>
  <c r="BQ38" i="37"/>
  <c r="BQ37" i="37"/>
  <c r="BQ36" i="37"/>
  <c r="BQ35" i="37"/>
  <c r="BQ34" i="37"/>
  <c r="BQ33" i="37"/>
  <c r="BQ32" i="37"/>
  <c r="BQ31" i="37"/>
  <c r="BQ30" i="37"/>
  <c r="BQ29" i="37"/>
  <c r="BQ28" i="37"/>
  <c r="BQ26" i="37"/>
  <c r="BQ25" i="37"/>
  <c r="BQ24" i="37"/>
  <c r="BQ23" i="37"/>
  <c r="BQ22" i="37"/>
  <c r="BQ21" i="37"/>
  <c r="BQ20" i="37"/>
  <c r="BQ19" i="37"/>
  <c r="BQ18" i="37"/>
  <c r="BQ17" i="37"/>
  <c r="BQ15" i="37"/>
  <c r="BQ11" i="37"/>
  <c r="BQ10" i="37"/>
  <c r="BQ9" i="37"/>
  <c r="BQ8" i="37"/>
  <c r="BQ7" i="37"/>
  <c r="BQ6" i="37"/>
  <c r="BQ5" i="37"/>
  <c r="BQ4" i="37"/>
  <c r="BQ3" i="37"/>
  <c r="BQ2" i="37"/>
  <c r="B3" i="37"/>
  <c r="B4" i="37" s="1"/>
  <c r="B5" i="37" s="1"/>
  <c r="B6" i="37" s="1"/>
  <c r="B7" i="37" s="1"/>
  <c r="B8" i="37" s="1"/>
  <c r="B9" i="37" s="1"/>
  <c r="B10" i="37" s="1"/>
  <c r="B11" i="37" s="1"/>
  <c r="F17" i="32" a="1"/>
  <c r="F17" i="32" s="1"/>
  <c r="G28" i="32"/>
  <c r="G19" i="32" a="1"/>
  <c r="G20" i="32" a="1"/>
  <c r="G18" i="32" a="1"/>
  <c r="G23" i="32" a="1"/>
  <c r="G21" i="32" a="1"/>
  <c r="D32" i="32" a="1"/>
  <c r="D34" i="32" a="1"/>
  <c r="G23" i="32" l="1"/>
  <c r="G21" i="32"/>
  <c r="G20" i="32"/>
  <c r="G19" i="32"/>
  <c r="G18" i="32"/>
  <c r="D34" i="32"/>
  <c r="G22" i="32" s="1"/>
  <c r="D32" i="32"/>
  <c r="B38" i="32" a="1"/>
  <c r="B38" i="32" s="1"/>
  <c r="C38" i="32" l="1" a="1"/>
  <c r="C38" i="32" s="1"/>
  <c r="B15" i="37" l="1"/>
  <c r="B17" i="37" l="1"/>
  <c r="B18" i="37" l="1"/>
  <c r="B19" i="37" l="1"/>
  <c r="B20" i="37" l="1"/>
  <c r="B21" i="37" l="1"/>
  <c r="B22" i="37" l="1"/>
  <c r="B23" i="37" l="1"/>
  <c r="B24" i="37" l="1"/>
  <c r="B25" i="37" l="1"/>
  <c r="B26" i="37" l="1"/>
  <c r="B28" i="37" l="1"/>
  <c r="B29" i="37" l="1"/>
  <c r="B30" i="37" l="1"/>
  <c r="B31" i="37" l="1"/>
  <c r="B32" i="37" l="1"/>
  <c r="B33" i="37" l="1"/>
  <c r="B34" i="37" l="1"/>
  <c r="B35" i="37" l="1"/>
  <c r="B36" i="37" l="1"/>
  <c r="B37" i="37" l="1"/>
  <c r="B38" i="37" l="1"/>
  <c r="B39" i="37" l="1"/>
  <c r="B40" i="37" l="1"/>
  <c r="B41" i="37" l="1"/>
  <c r="B42" i="37" l="1"/>
  <c r="B43" i="37" l="1"/>
  <c r="B44" i="37" l="1"/>
  <c r="B45" i="37" l="1"/>
  <c r="B46" i="3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<sst xmlns="http://schemas.openxmlformats.org/spreadsheetml/2006/main" count="2364" uniqueCount="165">
  <si>
    <t>P1</t>
  </si>
  <si>
    <t>P2</t>
  </si>
  <si>
    <t>P3</t>
  </si>
  <si>
    <t>P4</t>
  </si>
  <si>
    <t>P5</t>
  </si>
  <si>
    <t>PP1</t>
  </si>
  <si>
    <t>PP2</t>
  </si>
  <si>
    <t>PP3</t>
  </si>
  <si>
    <t>PP4</t>
  </si>
  <si>
    <t>PP5</t>
  </si>
  <si>
    <t>PM1</t>
  </si>
  <si>
    <t>PM2</t>
  </si>
  <si>
    <t>PM3</t>
  </si>
  <si>
    <t>PM4</t>
  </si>
  <si>
    <t>PM5</t>
  </si>
  <si>
    <t>Date</t>
  </si>
  <si>
    <t>Time</t>
  </si>
  <si>
    <t>REP</t>
  </si>
  <si>
    <t>TP1</t>
  </si>
  <si>
    <t>TP2</t>
  </si>
  <si>
    <t>TP3</t>
  </si>
  <si>
    <t>TP4</t>
  </si>
  <si>
    <t>TP5</t>
  </si>
  <si>
    <t>TM1</t>
  </si>
  <si>
    <t>TM2</t>
  </si>
  <si>
    <t>TM3</t>
  </si>
  <si>
    <t>TM4</t>
  </si>
  <si>
    <t>TM5</t>
  </si>
  <si>
    <t>F1</t>
  </si>
  <si>
    <t>F2</t>
  </si>
  <si>
    <t>F3</t>
  </si>
  <si>
    <t>F4</t>
  </si>
  <si>
    <t>F5</t>
  </si>
  <si>
    <t>PAVG</t>
  </si>
  <si>
    <t>PPAVG</t>
  </si>
  <si>
    <t>PMAVG</t>
  </si>
  <si>
    <t>TPAVG</t>
  </si>
  <si>
    <t>TMAVG</t>
  </si>
  <si>
    <t>FAVG</t>
  </si>
  <si>
    <t>METER SER</t>
  </si>
  <si>
    <t>METER SIZ</t>
  </si>
  <si>
    <t>INVAR ROD</t>
  </si>
  <si>
    <t>Prove Report No</t>
  </si>
  <si>
    <t>PROVER BA</t>
  </si>
  <si>
    <t>PROVER MAT</t>
  </si>
  <si>
    <t>RU1</t>
  </si>
  <si>
    <t>RU2</t>
  </si>
  <si>
    <t>RU3</t>
  </si>
  <si>
    <t>RU4</t>
  </si>
  <si>
    <t>RU5</t>
  </si>
  <si>
    <t>Loca</t>
  </si>
  <si>
    <t>MF1</t>
  </si>
  <si>
    <t>MF2</t>
  </si>
  <si>
    <t>MF3</t>
  </si>
  <si>
    <t>MF4</t>
  </si>
  <si>
    <t>MF5</t>
  </si>
  <si>
    <t>TT1</t>
  </si>
  <si>
    <t>TT2</t>
  </si>
  <si>
    <t>TT3</t>
  </si>
  <si>
    <t>TT4</t>
  </si>
  <si>
    <t>TT5</t>
  </si>
  <si>
    <t>METER MAN</t>
  </si>
  <si>
    <t>METER MOD</t>
  </si>
  <si>
    <t>COEF. OF C</t>
  </si>
  <si>
    <t>MODULUS O</t>
  </si>
  <si>
    <t>PROVER OU</t>
  </si>
  <si>
    <t>PROVER WA</t>
  </si>
  <si>
    <t>PROVER MA</t>
  </si>
  <si>
    <t>PROVER SE</t>
  </si>
  <si>
    <t>TTAVG</t>
  </si>
  <si>
    <t>MFAVG</t>
  </si>
  <si>
    <t>METER TAG</t>
  </si>
  <si>
    <t>TRIALAVG</t>
  </si>
  <si>
    <t>Product Specification</t>
  </si>
  <si>
    <t>Flow Rate 3</t>
  </si>
  <si>
    <t>SS</t>
  </si>
  <si>
    <t>K Factor</t>
  </si>
  <si>
    <t>CHART OPTIONS</t>
  </si>
  <si>
    <t>PROVING CONTROL CHART</t>
  </si>
  <si>
    <t>Average based on first</t>
  </si>
  <si>
    <t>proves</t>
  </si>
  <si>
    <t>1006-011</t>
  </si>
  <si>
    <t>Prove No</t>
  </si>
  <si>
    <t>Some Prover</t>
  </si>
  <si>
    <t>Prover Manufacturer:</t>
  </si>
  <si>
    <t>Prover Serial No:</t>
  </si>
  <si>
    <t>Prover Base Volume:</t>
  </si>
  <si>
    <t>Prover OD:</t>
  </si>
  <si>
    <t>Prover Wall Thickness:</t>
  </si>
  <si>
    <t>Prover Material:</t>
  </si>
  <si>
    <t>m3</t>
  </si>
  <si>
    <t>mm</t>
  </si>
  <si>
    <t>Modulus of Elasticity:</t>
  </si>
  <si>
    <t>Coeff. Cubical expansion</t>
  </si>
  <si>
    <t>1/bar</t>
  </si>
  <si>
    <t>Meter Serial No.</t>
  </si>
  <si>
    <t>Meter Size</t>
  </si>
  <si>
    <t>Nominal K Factor</t>
  </si>
  <si>
    <t>Proving Temp</t>
  </si>
  <si>
    <t>Proving Press</t>
  </si>
  <si>
    <t>Flowrate</t>
  </si>
  <si>
    <t>Meter Temp</t>
  </si>
  <si>
    <t>Meter Pressure</t>
  </si>
  <si>
    <t>bar.g</t>
  </si>
  <si>
    <t>pls/m3</t>
  </si>
  <si>
    <t>m3/hr</t>
  </si>
  <si>
    <t>°C</t>
  </si>
  <si>
    <t>1/°C</t>
  </si>
  <si>
    <t>Meter Information:</t>
  </si>
  <si>
    <t>Prover Information:</t>
  </si>
  <si>
    <t>Proving Information</t>
  </si>
  <si>
    <t>OR ENTER DATA MANUALLY OR EXTRACT INFORMATION FROM PROVE REPORT TXT FILE</t>
  </si>
  <si>
    <t>Prove Date</t>
  </si>
  <si>
    <t>Prove Time</t>
  </si>
  <si>
    <t>Repeatability</t>
  </si>
  <si>
    <t>%</t>
  </si>
  <si>
    <t>Meter Tag No</t>
  </si>
  <si>
    <t>METER AND PROVER DATA ENTRY</t>
  </si>
  <si>
    <t>Report No</t>
  </si>
  <si>
    <t>NOM. K FA</t>
  </si>
  <si>
    <t>*   Information is required</t>
  </si>
  <si>
    <t>Last Prove No</t>
  </si>
  <si>
    <t>Last K Factor</t>
  </si>
  <si>
    <t>Meter Tag Number</t>
  </si>
  <si>
    <t>Number</t>
  </si>
  <si>
    <t>Meter Tag</t>
  </si>
  <si>
    <t>Meter Man</t>
  </si>
  <si>
    <t>Meter Serial</t>
  </si>
  <si>
    <t>Meter Nom K</t>
  </si>
  <si>
    <t>Proving Pressure</t>
  </si>
  <si>
    <t>Running Average</t>
  </si>
  <si>
    <t>Warning Limit</t>
  </si>
  <si>
    <t>Action Limit</t>
  </si>
  <si>
    <t>F-Warning Limit</t>
  </si>
  <si>
    <t>F-Action Limit</t>
  </si>
  <si>
    <t>Change to</t>
  </si>
  <si>
    <t>previous</t>
  </si>
  <si>
    <t>FE-01</t>
  </si>
  <si>
    <t>Location:</t>
  </si>
  <si>
    <t>Meter Manufacturer:</t>
  </si>
  <si>
    <t>Meter Model</t>
  </si>
  <si>
    <t>inch</t>
  </si>
  <si>
    <t>Some location</t>
  </si>
  <si>
    <t>Some Man</t>
  </si>
  <si>
    <t>Some model</t>
  </si>
  <si>
    <t>FE-02</t>
  </si>
  <si>
    <t>25/01/2021</t>
  </si>
  <si>
    <t>14/02/2021</t>
  </si>
  <si>
    <t>D7 cell cannot  be empty</t>
  </si>
  <si>
    <t>D8 Cell cannot be empty</t>
  </si>
  <si>
    <t>D9 cell cannot be empty</t>
  </si>
  <si>
    <t>D10 cell cannot be empty</t>
  </si>
  <si>
    <t>D11 cell cannot be empty</t>
  </si>
  <si>
    <t>D12 cell cannot be empty</t>
  </si>
  <si>
    <t>D13 cell cannot be empty</t>
  </si>
  <si>
    <t>D15 cell cannot be empty</t>
  </si>
  <si>
    <t>D16 cell cannot be empty</t>
  </si>
  <si>
    <t>D18 cell cannot be empty</t>
  </si>
  <si>
    <t>D19 cell cannot be empty</t>
  </si>
  <si>
    <t>D20 cell cannot be empty</t>
  </si>
  <si>
    <t>D21 cell cannot be empty</t>
  </si>
  <si>
    <t>D22 cell cannot be empty</t>
  </si>
  <si>
    <t>D23 cell cannot be empty</t>
  </si>
  <si>
    <t>D24 cell cannot be empty</t>
  </si>
  <si>
    <t>EDIT PROVE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</si>
</sst>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Helv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39933"/>
      <name val="Arial"/>
      <family val="2"/>
    </font>
    <font>
      <sz val="11"/>
      <color rgb="FF339933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2"/>
      <color rgb="FF00206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0"/>
      <name val="Cambria"/>
      <family val="1"/>
      <charset val="238"/>
      <scheme val="major"/>
    </font>
    <font>
      <b/>
      <sz val="10"/>
      <name val="Calibri"/>
      <family val="2"/>
      <charset val="238"/>
      <scheme val="minor"/>
    </font>
    <font>
      <sz val="10"/>
      <color theme="1"/>
      <name val="Cambria"/>
      <family val="1"/>
      <charset val="238"/>
      <scheme val="major"/>
    </font>
    <font>
      <b/>
      <sz val="10"/>
      <name val="Cambria"/>
      <family val="1"/>
      <charset val="238"/>
      <scheme val="major"/>
    </font>
    <font>
      <sz val="9"/>
      <name val="Cambria"/>
      <family val="1"/>
      <charset val="238"/>
      <scheme val="major"/>
    </font>
    <font>
      <sz val="9"/>
      <color theme="1"/>
      <name val="Calibri"/>
      <family val="2"/>
      <scheme val="minor"/>
    </font>
    <font>
      <sz val="10"/>
      <color rgb="FF002060"/>
      <name val="Cambria"/>
      <family val="1"/>
      <charset val="238"/>
      <scheme val="major"/>
    </font>
    <font>
      <sz val="11"/>
      <color rgb="FF002060"/>
      <name val="Calibri"/>
      <family val="2"/>
      <scheme val="minor"/>
    </font>
    <font>
      <i/>
      <sz val="10"/>
      <color rgb="FF002060"/>
      <name val="Cambria"/>
      <family val="1"/>
      <charset val="238"/>
      <scheme val="major"/>
    </font>
    <font>
      <b/>
      <sz val="10"/>
      <color theme="1"/>
      <name val="Cambria"/>
      <family val="1"/>
      <charset val="238"/>
      <scheme val="major"/>
    </font>
    <font>
      <b/>
      <sz val="9"/>
      <color rgb="FFFF0000"/>
      <name val="Cambria"/>
      <family val="1"/>
      <charset val="238"/>
      <scheme val="major"/>
    </font>
    <font>
      <sz val="9"/>
      <color rgb="FFFF0000"/>
      <name val="Cambria"/>
      <family val="1"/>
      <charset val="238"/>
      <scheme val="major"/>
    </font>
    <font>
      <sz val="10"/>
      <color theme="0" tint="-0.34998626667073579"/>
      <name val="Cambria"/>
      <family val="1"/>
      <charset val="238"/>
      <scheme val="major"/>
    </font>
    <font>
      <sz val="11"/>
      <color rgb="FFFF0000"/>
      <name val="Calibri"/>
      <family val="2"/>
      <scheme val="minor"/>
    </font>
    <font>
      <sz val="10"/>
      <color theme="0"/>
      <name val="Cambria"/>
      <family val="1"/>
      <charset val="238"/>
      <scheme val="major"/>
    </font>
    <font>
      <sz val="10"/>
      <color rgb="FFFF0000"/>
      <name val="Cambria"/>
      <family val="1"/>
      <charset val="238"/>
      <scheme val="major"/>
    </font>
    <font>
      <sz val="8"/>
      <color rgb="FFFFFFFF"/>
      <name val="Cambria"/>
      <family val="1"/>
      <charset val="238"/>
      <scheme val="maj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333333"/>
      <name val="Open Sans"/>
      <family val="2"/>
    </font>
    <font>
      <b/>
      <sz val="9"/>
      <color theme="4"/>
      <name val="Calibri"/>
      <family val="2"/>
      <charset val="238"/>
      <scheme val="minor"/>
    </font>
    <font>
      <b/>
      <sz val="9"/>
      <color theme="1"/>
      <name val="Cambria"/>
      <family val="1"/>
      <charset val="238"/>
      <scheme val="major"/>
    </font>
    <font>
      <b/>
      <sz val="10"/>
      <color rgb="FF00B050"/>
      <name val="Cambria"/>
      <family val="1"/>
      <charset val="238"/>
      <scheme val="major"/>
    </font>
    <font>
      <b/>
      <sz val="10"/>
      <color rgb="FFFF0000"/>
      <name val="Cambria"/>
      <family val="1"/>
      <charset val="238"/>
      <scheme val="major"/>
    </font>
    <font>
      <sz val="9"/>
      <color rgb="FFFFFFFF"/>
      <name val="Cambria"/>
      <family val="1"/>
      <charset val="238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</borders>
  <cellStyleXfs count="3">
    <xf numFmtId="0" fontId="0" fillId="0" borderId="0"/>
    <xf numFmtId="0" fontId="1" fillId="0" borderId="0"/>
    <xf numFmtId="0" fontId="3" fillId="0" borderId="0" applyFont="0" applyFill="0" applyBorder="0" applyAlignment="0" applyProtection="0"/>
  </cellStyleXfs>
  <cellXfs count="183">
    <xf numFmtId="0" fontId="0" fillId="0" borderId="0" xfId="0"/>
    <xf numFmtId="0" fontId="4" fillId="0" borderId="0" xfId="0" applyFont="1" applyAlignment="1">
      <alignment horizontal="left"/>
    </xf>
    <xf numFmtId="20" fontId="4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14" fillId="0" borderId="0" xfId="0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0" fontId="7" fillId="0" borderId="0" xfId="0" applyFont="1" applyFill="1" applyBorder="1"/>
    <xf numFmtId="0" fontId="8" fillId="0" borderId="0" xfId="0" applyFont="1" applyFill="1" applyBorder="1" applyProtection="1">
      <protection locked="0"/>
    </xf>
    <xf numFmtId="0" fontId="0" fillId="0" borderId="0" xfId="0" applyFill="1" applyBorder="1"/>
    <xf numFmtId="0" fontId="5" fillId="0" borderId="0" xfId="0" applyFont="1" applyFill="1" applyBorder="1" applyAlignment="1" applyProtection="1">
      <alignment horizontal="center"/>
      <protection hidden="1"/>
    </xf>
    <xf numFmtId="14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3" fontId="8" fillId="0" borderId="0" xfId="0" applyNumberFormat="1" applyFont="1" applyFill="1" applyBorder="1" applyAlignment="1" applyProtection="1">
      <alignment horizontal="center"/>
      <protection locked="0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/>
    <xf numFmtId="0" fontId="4" fillId="0" borderId="0" xfId="0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4" fontId="8" fillId="0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0" xfId="0" applyFill="1" applyBorder="1" applyProtection="1">
      <protection locked="0"/>
    </xf>
    <xf numFmtId="14" fontId="4" fillId="0" borderId="0" xfId="0" applyNumberFormat="1" applyFont="1" applyAlignment="1">
      <alignment horizontal="left"/>
    </xf>
    <xf numFmtId="0" fontId="1" fillId="0" borderId="3" xfId="0" applyFont="1" applyFill="1" applyBorder="1" applyProtection="1">
      <protection hidden="1"/>
    </xf>
    <xf numFmtId="0" fontId="0" fillId="0" borderId="2" xfId="0" applyBorder="1"/>
    <xf numFmtId="0" fontId="0" fillId="0" borderId="4" xfId="0" applyBorder="1"/>
    <xf numFmtId="0" fontId="17" fillId="0" borderId="0" xfId="0" applyFont="1" applyFill="1" applyBorder="1"/>
    <xf numFmtId="0" fontId="5" fillId="0" borderId="3" xfId="0" applyFont="1" applyFill="1" applyBorder="1" applyAlignment="1" applyProtection="1">
      <alignment horizontal="center"/>
      <protection hidden="1"/>
    </xf>
    <xf numFmtId="0" fontId="16" fillId="2" borderId="5" xfId="0" applyFont="1" applyFill="1" applyBorder="1"/>
    <xf numFmtId="0" fontId="0" fillId="2" borderId="7" xfId="0" applyFill="1" applyBorder="1"/>
    <xf numFmtId="0" fontId="0" fillId="2" borderId="5" xfId="0" applyFill="1" applyBorder="1"/>
    <xf numFmtId="0" fontId="19" fillId="0" borderId="0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1" fillId="0" borderId="2" xfId="0" applyFont="1" applyFill="1" applyBorder="1" applyProtection="1">
      <protection hidden="1"/>
    </xf>
    <xf numFmtId="0" fontId="7" fillId="0" borderId="2" xfId="0" applyFont="1" applyFill="1" applyBorder="1" applyAlignment="1"/>
    <xf numFmtId="0" fontId="7" fillId="0" borderId="2" xfId="0" applyFont="1" applyFill="1" applyBorder="1"/>
    <xf numFmtId="0" fontId="8" fillId="0" borderId="2" xfId="0" applyFont="1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4" fillId="0" borderId="0" xfId="0" applyFont="1" applyFill="1" applyAlignment="1">
      <alignment horizontal="left"/>
    </xf>
    <xf numFmtId="2" fontId="4" fillId="0" borderId="0" xfId="0" applyNumberFormat="1" applyFont="1" applyFill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22" fillId="0" borderId="0" xfId="0" applyFont="1" applyFill="1" applyBorder="1" applyProtection="1">
      <protection hidden="1"/>
    </xf>
    <xf numFmtId="0" fontId="19" fillId="0" borderId="3" xfId="0" applyFont="1" applyFill="1" applyBorder="1" applyProtection="1">
      <protection hidden="1"/>
    </xf>
    <xf numFmtId="0" fontId="21" fillId="0" borderId="3" xfId="0" applyFont="1" applyBorder="1"/>
    <xf numFmtId="0" fontId="22" fillId="0" borderId="0" xfId="0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Border="1"/>
    <xf numFmtId="0" fontId="17" fillId="0" borderId="0" xfId="0" applyFont="1" applyBorder="1"/>
    <xf numFmtId="0" fontId="12" fillId="0" borderId="0" xfId="0" applyFont="1" applyFill="1" applyBorder="1" applyAlignment="1" applyProtection="1">
      <protection locked="0"/>
    </xf>
    <xf numFmtId="0" fontId="4" fillId="0" borderId="0" xfId="0" applyFont="1" applyFill="1" applyBorder="1"/>
    <xf numFmtId="0" fontId="4" fillId="0" borderId="0" xfId="0" applyFont="1" applyFill="1"/>
    <xf numFmtId="0" fontId="23" fillId="0" borderId="0" xfId="0" applyFont="1" applyBorder="1"/>
    <xf numFmtId="0" fontId="23" fillId="0" borderId="0" xfId="0" applyFont="1" applyFill="1" applyBorder="1" applyAlignment="1"/>
    <xf numFmtId="0" fontId="25" fillId="0" borderId="0" xfId="0" applyFont="1" applyFill="1" applyBorder="1" applyAlignment="1"/>
    <xf numFmtId="0" fontId="26" fillId="0" borderId="0" xfId="0" applyFont="1" applyBorder="1"/>
    <xf numFmtId="0" fontId="25" fillId="0" borderId="0" xfId="0" applyFont="1" applyFill="1" applyBorder="1" applyProtection="1">
      <protection hidden="1"/>
    </xf>
    <xf numFmtId="0" fontId="25" fillId="0" borderId="0" xfId="0" applyFont="1" applyBorder="1"/>
    <xf numFmtId="0" fontId="27" fillId="0" borderId="0" xfId="0" applyFont="1" applyFill="1" applyBorder="1" applyAlignment="1"/>
    <xf numFmtId="0" fontId="5" fillId="0" borderId="8" xfId="0" applyFont="1" applyFill="1" applyBorder="1" applyAlignment="1" applyProtection="1">
      <alignment horizontal="center"/>
      <protection hidden="1"/>
    </xf>
    <xf numFmtId="0" fontId="0" fillId="0" borderId="9" xfId="0" applyBorder="1"/>
    <xf numFmtId="0" fontId="5" fillId="0" borderId="8" xfId="0" applyFont="1" applyFill="1" applyBorder="1" applyAlignment="1" applyProtection="1">
      <alignment horizontal="left"/>
      <protection hidden="1"/>
    </xf>
    <xf numFmtId="0" fontId="0" fillId="0" borderId="8" xfId="0" applyFill="1" applyBorder="1"/>
    <xf numFmtId="0" fontId="8" fillId="0" borderId="8" xfId="0" applyFont="1" applyFill="1" applyBorder="1"/>
    <xf numFmtId="0" fontId="4" fillId="0" borderId="8" xfId="0" applyFont="1" applyFill="1" applyBorder="1" applyAlignment="1" applyProtection="1">
      <alignment horizontal="center"/>
      <protection hidden="1"/>
    </xf>
    <xf numFmtId="0" fontId="5" fillId="0" borderId="10" xfId="0" applyFont="1" applyFill="1" applyBorder="1" applyAlignment="1" applyProtection="1">
      <alignment horizontal="center"/>
      <protection hidden="1"/>
    </xf>
    <xf numFmtId="3" fontId="8" fillId="0" borderId="11" xfId="0" applyNumberFormat="1" applyFont="1" applyFill="1" applyBorder="1" applyAlignment="1" applyProtection="1">
      <alignment horizontal="center"/>
      <protection locked="0"/>
    </xf>
    <xf numFmtId="4" fontId="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Border="1"/>
    <xf numFmtId="0" fontId="0" fillId="0" borderId="12" xfId="0" applyBorder="1"/>
    <xf numFmtId="0" fontId="12" fillId="0" borderId="0" xfId="0" applyFont="1" applyFill="1" applyBorder="1" applyAlignment="1" applyProtection="1">
      <protection locked="0"/>
    </xf>
    <xf numFmtId="0" fontId="22" fillId="0" borderId="0" xfId="0" applyFont="1" applyBorder="1"/>
    <xf numFmtId="0" fontId="21" fillId="0" borderId="0" xfId="0" applyFont="1" applyFill="1" applyBorder="1"/>
    <xf numFmtId="0" fontId="21" fillId="0" borderId="0" xfId="0" applyFont="1" applyFill="1" applyBorder="1" applyAlignment="1">
      <alignment horizontal="right"/>
    </xf>
    <xf numFmtId="0" fontId="21" fillId="0" borderId="0" xfId="0" applyFont="1" applyFill="1" applyBorder="1" applyAlignment="1">
      <alignment horizontal="left"/>
    </xf>
    <xf numFmtId="0" fontId="29" fillId="0" borderId="0" xfId="0" applyFont="1" applyFill="1" applyBorder="1" applyAlignment="1" applyProtection="1">
      <alignment horizontal="right"/>
      <protection hidden="1"/>
    </xf>
    <xf numFmtId="0" fontId="30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hidden="1"/>
    </xf>
    <xf numFmtId="14" fontId="21" fillId="3" borderId="0" xfId="0" applyNumberFormat="1" applyFont="1" applyFill="1" applyBorder="1" applyAlignment="1" applyProtection="1">
      <alignment horizontal="left"/>
      <protection locked="0"/>
    </xf>
    <xf numFmtId="20" fontId="21" fillId="3" borderId="0" xfId="0" applyNumberFormat="1" applyFont="1" applyFill="1" applyBorder="1" applyAlignment="1" applyProtection="1">
      <alignment horizontal="left"/>
      <protection locked="0"/>
    </xf>
    <xf numFmtId="0" fontId="32" fillId="0" borderId="0" xfId="0" applyFont="1" applyBorder="1"/>
    <xf numFmtId="0" fontId="33" fillId="0" borderId="0" xfId="0" applyFont="1" applyFill="1" applyBorder="1" applyAlignment="1">
      <alignment horizontal="left"/>
    </xf>
    <xf numFmtId="0" fontId="28" fillId="0" borderId="0" xfId="0" applyFont="1" applyFill="1" applyBorder="1"/>
    <xf numFmtId="2" fontId="21" fillId="0" borderId="0" xfId="0" applyNumberFormat="1" applyFont="1" applyFill="1" applyBorder="1" applyAlignment="1" applyProtection="1">
      <alignment horizontal="left"/>
      <protection locked="0"/>
    </xf>
    <xf numFmtId="0" fontId="10" fillId="0" borderId="4" xfId="0" applyFont="1" applyBorder="1"/>
    <xf numFmtId="0" fontId="19" fillId="0" borderId="0" xfId="0" applyFont="1" applyFill="1" applyBorder="1" applyAlignment="1" applyProtection="1">
      <alignment horizontal="left"/>
    </xf>
    <xf numFmtId="0" fontId="17" fillId="0" borderId="0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0" fillId="0" borderId="0" xfId="0" applyFont="1" applyProtection="1"/>
    <xf numFmtId="0" fontId="1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left"/>
    </xf>
    <xf numFmtId="0" fontId="24" fillId="0" borderId="0" xfId="0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15" fillId="0" borderId="0" xfId="0" applyFont="1" applyFill="1" applyBorder="1"/>
    <xf numFmtId="0" fontId="10" fillId="4" borderId="0" xfId="0" applyFont="1" applyFill="1" applyBorder="1" applyAlignment="1" applyProtection="1">
      <alignment horizontal="center"/>
    </xf>
    <xf numFmtId="0" fontId="28" fillId="0" borderId="0" xfId="0" applyFont="1" applyBorder="1"/>
    <xf numFmtId="0" fontId="21" fillId="0" borderId="0" xfId="0" applyFont="1" applyBorder="1"/>
    <xf numFmtId="0" fontId="10" fillId="0" borderId="0" xfId="0" applyFont="1" applyBorder="1"/>
    <xf numFmtId="0" fontId="29" fillId="0" borderId="3" xfId="0" applyFont="1" applyFill="1" applyBorder="1" applyAlignment="1" applyProtection="1">
      <alignment horizontal="right"/>
      <protection hidden="1"/>
    </xf>
    <xf numFmtId="0" fontId="0" fillId="0" borderId="0" xfId="0" applyBorder="1" applyAlignment="1">
      <alignment horizontal="right"/>
    </xf>
    <xf numFmtId="0" fontId="19" fillId="0" borderId="15" xfId="0" applyFont="1" applyFill="1" applyBorder="1" applyProtection="1">
      <protection hidden="1"/>
    </xf>
    <xf numFmtId="0" fontId="19" fillId="0" borderId="16" xfId="0" applyFont="1" applyFill="1" applyBorder="1" applyAlignment="1">
      <alignment horizontal="left"/>
    </xf>
    <xf numFmtId="0" fontId="0" fillId="0" borderId="16" xfId="0" applyBorder="1"/>
    <xf numFmtId="0" fontId="33" fillId="0" borderId="16" xfId="0" applyFont="1" applyFill="1" applyBorder="1" applyAlignment="1">
      <alignment horizontal="left"/>
    </xf>
    <xf numFmtId="0" fontId="0" fillId="0" borderId="0" xfId="0" applyNumberFormat="1"/>
    <xf numFmtId="0" fontId="10" fillId="0" borderId="16" xfId="0" applyFont="1" applyBorder="1"/>
    <xf numFmtId="0" fontId="10" fillId="0" borderId="17" xfId="0" applyFont="1" applyBorder="1"/>
    <xf numFmtId="0" fontId="10" fillId="0" borderId="0" xfId="0" applyFont="1"/>
    <xf numFmtId="0" fontId="19" fillId="3" borderId="0" xfId="0" applyFont="1" applyFill="1" applyBorder="1" applyAlignment="1" applyProtection="1">
      <alignment horizontal="left"/>
      <protection locked="0"/>
    </xf>
    <xf numFmtId="0" fontId="22" fillId="3" borderId="0" xfId="0" applyFont="1" applyFill="1" applyBorder="1" applyAlignment="1" applyProtection="1">
      <alignment horizontal="left"/>
      <protection locked="0"/>
    </xf>
    <xf numFmtId="0" fontId="21" fillId="0" borderId="16" xfId="0" applyFont="1" applyFill="1" applyBorder="1"/>
    <xf numFmtId="0" fontId="21" fillId="0" borderId="16" xfId="0" applyFont="1" applyFill="1" applyBorder="1" applyAlignment="1">
      <alignment horizontal="left"/>
    </xf>
    <xf numFmtId="10" fontId="30" fillId="0" borderId="16" xfId="0" applyNumberFormat="1" applyFont="1" applyFill="1" applyBorder="1" applyAlignment="1" applyProtection="1">
      <alignment horizontal="left"/>
      <protection hidden="1"/>
    </xf>
    <xf numFmtId="0" fontId="21" fillId="0" borderId="16" xfId="0" applyFont="1" applyFill="1" applyBorder="1" applyAlignment="1" applyProtection="1">
      <alignment horizontal="left"/>
      <protection locked="0"/>
    </xf>
    <xf numFmtId="0" fontId="22" fillId="0" borderId="0" xfId="0" applyFont="1" applyFill="1" applyBorder="1" applyAlignment="1" applyProtection="1">
      <protection locked="0"/>
    </xf>
    <xf numFmtId="0" fontId="19" fillId="0" borderId="0" xfId="0" applyFont="1" applyFill="1" applyBorder="1" applyAlignment="1" applyProtection="1">
      <protection locked="0"/>
    </xf>
    <xf numFmtId="0" fontId="36" fillId="0" borderId="3" xfId="0" applyFont="1" applyFill="1" applyBorder="1"/>
    <xf numFmtId="0" fontId="37" fillId="0" borderId="0" xfId="0" applyFont="1" applyFill="1" applyBorder="1"/>
    <xf numFmtId="0" fontId="37" fillId="0" borderId="0" xfId="0" applyFont="1" applyFill="1" applyBorder="1" applyAlignment="1" applyProtection="1">
      <alignment horizontal="left"/>
      <protection locked="0"/>
    </xf>
    <xf numFmtId="0" fontId="36" fillId="0" borderId="0" xfId="0" applyFont="1" applyFill="1" applyBorder="1" applyAlignment="1">
      <alignment horizontal="center"/>
    </xf>
    <xf numFmtId="0" fontId="36" fillId="0" borderId="0" xfId="0" applyFont="1" applyFill="1" applyBorder="1"/>
    <xf numFmtId="0" fontId="36" fillId="0" borderId="0" xfId="0" applyFont="1" applyFill="1" applyBorder="1" applyAlignment="1">
      <alignment horizontal="left"/>
    </xf>
    <xf numFmtId="0" fontId="36" fillId="0" borderId="3" xfId="0" applyFont="1" applyFill="1" applyBorder="1" applyAlignment="1" applyProtection="1">
      <alignment horizontal="center"/>
      <protection hidden="1"/>
    </xf>
    <xf numFmtId="0" fontId="36" fillId="0" borderId="0" xfId="0" applyFont="1" applyBorder="1" applyAlignment="1">
      <alignment horizontal="left"/>
    </xf>
    <xf numFmtId="0" fontId="36" fillId="0" borderId="0" xfId="0" applyFont="1" applyFill="1" applyBorder="1" applyAlignment="1" applyProtection="1">
      <alignment horizontal="left" vertical="center" wrapText="1"/>
      <protection hidden="1"/>
    </xf>
    <xf numFmtId="0" fontId="36" fillId="0" borderId="0" xfId="0" applyFont="1" applyFill="1" applyBorder="1" applyAlignment="1">
      <alignment horizontal="left" vertical="center" wrapText="1"/>
    </xf>
    <xf numFmtId="0" fontId="36" fillId="0" borderId="0" xfId="0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Fill="1" applyBorder="1" applyAlignment="1" applyProtection="1">
      <alignment horizontal="center" vertical="center" wrapText="1"/>
      <protection locked="0"/>
    </xf>
    <xf numFmtId="0" fontId="37" fillId="0" borderId="3" xfId="0" applyFont="1" applyFill="1" applyBorder="1" applyAlignment="1" applyProtection="1">
      <alignment horizontal="center"/>
      <protection hidden="1"/>
    </xf>
    <xf numFmtId="3" fontId="36" fillId="0" borderId="0" xfId="0" applyNumberFormat="1" applyFont="1" applyFill="1" applyBorder="1" applyAlignment="1" applyProtection="1">
      <alignment horizontal="left"/>
      <protection locked="0"/>
    </xf>
    <xf numFmtId="4" fontId="36" fillId="0" borderId="0" xfId="0" applyNumberFormat="1" applyFont="1" applyFill="1" applyBorder="1" applyAlignment="1" applyProtection="1">
      <alignment horizontal="left"/>
      <protection locked="0"/>
    </xf>
    <xf numFmtId="3" fontId="36" fillId="0" borderId="0" xfId="0" applyNumberFormat="1" applyFont="1" applyFill="1" applyBorder="1" applyAlignment="1" applyProtection="1">
      <alignment horizontal="center"/>
      <protection locked="0"/>
    </xf>
    <xf numFmtId="4" fontId="36" fillId="0" borderId="0" xfId="0" applyNumberFormat="1" applyFont="1" applyFill="1" applyBorder="1" applyAlignment="1" applyProtection="1">
      <alignment horizontal="center"/>
      <protection locked="0"/>
    </xf>
    <xf numFmtId="0" fontId="39" fillId="0" borderId="0" xfId="0" applyFont="1" applyAlignment="1">
      <alignment horizontal="left"/>
    </xf>
    <xf numFmtId="0" fontId="40" fillId="0" borderId="0" xfId="0" applyFont="1" applyFill="1" applyBorder="1" applyAlignment="1" applyProtection="1">
      <alignment horizontal="left"/>
    </xf>
    <xf numFmtId="0" fontId="25" fillId="0" borderId="0" xfId="0" applyFont="1" applyFill="1" applyBorder="1"/>
    <xf numFmtId="2" fontId="21" fillId="3" borderId="0" xfId="0" applyNumberFormat="1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0" fontId="28" fillId="0" borderId="0" xfId="0" applyFont="1" applyBorder="1" applyAlignment="1" applyProtection="1">
      <alignment horizontal="left"/>
    </xf>
    <xf numFmtId="14" fontId="34" fillId="0" borderId="0" xfId="0" applyNumberFormat="1" applyFont="1" applyFill="1" applyBorder="1" applyAlignment="1" applyProtection="1">
      <alignment horizontal="left"/>
    </xf>
    <xf numFmtId="10" fontId="30" fillId="0" borderId="0" xfId="0" applyNumberFormat="1" applyFont="1" applyFill="1" applyBorder="1" applyAlignment="1" applyProtection="1">
      <alignment horizontal="left"/>
    </xf>
    <xf numFmtId="0" fontId="4" fillId="0" borderId="0" xfId="0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20" fontId="4" fillId="0" borderId="0" xfId="0" applyNumberFormat="1" applyFont="1" applyAlignment="1" applyProtection="1">
      <alignment horizontal="left"/>
      <protection locked="0"/>
    </xf>
    <xf numFmtId="22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15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38" fillId="0" borderId="0" xfId="0" applyFont="1" applyAlignment="1" applyProtection="1">
      <alignment horizontal="left" vertical="center" wrapText="1" indent="1"/>
      <protection locked="0"/>
    </xf>
    <xf numFmtId="0" fontId="6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6" fillId="0" borderId="0" xfId="0" applyNumberFormat="1" applyFont="1" applyAlignment="1" applyProtection="1">
      <alignment horizontal="left" vertical="center"/>
    </xf>
    <xf numFmtId="0" fontId="41" fillId="0" borderId="0" xfId="0" applyFont="1" applyFill="1" applyBorder="1" applyAlignment="1" applyProtection="1">
      <alignment horizontal="left"/>
      <protection hidden="1"/>
    </xf>
    <xf numFmtId="0" fontId="35" fillId="0" borderId="0" xfId="0" applyFont="1" applyFill="1" applyBorder="1" applyAlignment="1" applyProtection="1">
      <alignment horizontal="left"/>
    </xf>
    <xf numFmtId="0" fontId="42" fillId="0" borderId="0" xfId="0" applyFont="1" applyFill="1" applyBorder="1" applyAlignment="1" applyProtection="1"/>
    <xf numFmtId="0" fontId="31" fillId="3" borderId="0" xfId="0" applyFont="1" applyFill="1" applyBorder="1" applyAlignment="1" applyProtection="1">
      <alignment horizontal="left"/>
      <protection locked="0"/>
    </xf>
    <xf numFmtId="0" fontId="18" fillId="2" borderId="6" xfId="0" applyFont="1" applyFill="1" applyBorder="1" applyAlignment="1">
      <alignment horizontal="center"/>
    </xf>
    <xf numFmtId="0" fontId="13" fillId="0" borderId="8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20" fillId="2" borderId="18" xfId="0" applyFont="1" applyFill="1" applyBorder="1" applyAlignment="1" applyProtection="1">
      <alignment horizontal="left"/>
      <protection locked="0"/>
    </xf>
    <xf numFmtId="0" fontId="20" fillId="2" borderId="19" xfId="0" applyFont="1" applyFill="1" applyBorder="1" applyAlignment="1" applyProtection="1">
      <alignment horizontal="left"/>
      <protection locked="0"/>
    </xf>
    <xf numFmtId="0" fontId="16" fillId="2" borderId="6" xfId="0" applyFont="1" applyFill="1" applyBorder="1" applyAlignment="1">
      <alignment horizontal="center"/>
    </xf>
    <xf numFmtId="0" fontId="11" fillId="0" borderId="2" xfId="0" applyFont="1" applyFill="1" applyBorder="1" applyAlignment="1" applyProtection="1">
      <alignment horizontal="left"/>
      <protection locked="0"/>
    </xf>
    <xf numFmtId="0" fontId="12" fillId="0" borderId="2" xfId="0" applyFont="1" applyFill="1" applyBorder="1" applyAlignment="1" applyProtection="1">
      <protection locked="0"/>
    </xf>
    <xf numFmtId="0" fontId="36" fillId="0" borderId="0" xfId="0" applyFont="1" applyFill="1" applyBorder="1" applyAlignment="1" applyProtection="1">
      <alignment horizontal="left" vertical="center" wrapText="1"/>
      <protection hidden="1"/>
    </xf>
    <xf numFmtId="0" fontId="36" fillId="0" borderId="0" xfId="0" applyFont="1" applyFill="1" applyBorder="1" applyAlignment="1">
      <alignment horizontal="left" vertical="center" wrapText="1"/>
    </xf>
    <xf numFmtId="0" fontId="36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>
      <alignment horizontal="center" vertical="center" wrapText="1"/>
    </xf>
    <xf numFmtId="0" fontId="19" fillId="0" borderId="13" xfId="0" applyFont="1" applyFill="1" applyBorder="1" applyAlignment="1" applyProtection="1">
      <alignment horizontal="left"/>
    </xf>
    <xf numFmtId="0" fontId="19" fillId="0" borderId="14" xfId="0" applyFont="1" applyFill="1" applyBorder="1" applyAlignment="1" applyProtection="1">
      <alignment horizontal="left"/>
    </xf>
    <xf numFmtId="2" fontId="21" fillId="0" borderId="13" xfId="0" applyNumberFormat="1" applyFont="1" applyFill="1" applyBorder="1" applyAlignment="1" applyProtection="1">
      <alignment horizontal="left"/>
    </xf>
    <xf numFmtId="2" fontId="21" fillId="0" borderId="14" xfId="0" applyNumberFormat="1" applyFont="1" applyFill="1" applyBorder="1" applyAlignment="1" applyProtection="1">
      <alignment horizontal="left"/>
    </xf>
    <xf numFmtId="10" fontId="43" fillId="0" borderId="0" xfId="0" applyNumberFormat="1" applyFont="1" applyFill="1" applyBorder="1" applyAlignment="1" applyProtection="1">
      <alignment horizontal="left"/>
      <protection hidden="1"/>
    </xf>
  </cellXfs>
  <cellStyles count="3">
    <cellStyle name="General" xfId="2" xr:uid="{00000000-0005-0000-0000-000001000000}"/>
    <cellStyle name="Navadno" xfId="0" builtinId="0"/>
    <cellStyle name="Normal 2" xfId="1" xr:uid="{00000000-0005-0000-0000-000003000000}"/>
  </cellStyles>
  <dxfs count="0"/>
  <tableStyles count="0" defaultTableStyle="TableStyleMedium9" defaultPivotStyle="PivotStyleLight16"/>
  <colors>
    <mruColors>
      <color rgb="FFFF6600"/>
      <color rgb="FFFFFFCC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average proving chart for meter FE-01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 Factor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Calculation!$A$2:$A$126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29</c:v>
                </c:pt>
                <c:pt idx="15">
                  <c:v>30</c:v>
                </c:pt>
                <c:pt idx="16">
                  <c:v>33</c:v>
                </c:pt>
                <c:pt idx="17">
                  <c:v>34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55</c:v>
                </c:pt>
                <c:pt idx="29">
                  <c:v>58</c:v>
                </c:pt>
                <c:pt idx="30">
                  <c:v>59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67</c:v>
                </c:pt>
                <c:pt idx="35">
                  <c:v>70</c:v>
                </c:pt>
                <c:pt idx="36">
                  <c:v>71</c:v>
                </c:pt>
                <c:pt idx="37">
                  <c:v>74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82</c:v>
                </c:pt>
                <c:pt idx="42">
                  <c:v>83</c:v>
                </c:pt>
                <c:pt idx="43">
                  <c:v>86</c:v>
                </c:pt>
                <c:pt idx="44">
                  <c:v>87</c:v>
                </c:pt>
                <c:pt idx="45">
                  <c:v>90</c:v>
                </c:pt>
                <c:pt idx="46">
                  <c:v>91</c:v>
                </c:pt>
                <c:pt idx="47">
                  <c:v>94</c:v>
                </c:pt>
                <c:pt idx="48">
                  <c:v>95</c:v>
                </c:pt>
                <c:pt idx="49">
                  <c:v>98</c:v>
                </c:pt>
                <c:pt idx="50">
                  <c:v>99</c:v>
                </c:pt>
                <c:pt idx="51">
                  <c:v>102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110</c:v>
                </c:pt>
                <c:pt idx="56">
                  <c:v>111</c:v>
                </c:pt>
                <c:pt idx="57">
                  <c:v>114</c:v>
                </c:pt>
                <c:pt idx="58">
                  <c:v>115</c:v>
                </c:pt>
                <c:pt idx="59">
                  <c:v>118</c:v>
                </c:pt>
                <c:pt idx="60">
                  <c:v>119</c:v>
                </c:pt>
                <c:pt idx="61">
                  <c:v>122</c:v>
                </c:pt>
                <c:pt idx="62">
                  <c:v>123</c:v>
                </c:pt>
                <c:pt idx="63">
                  <c:v>126</c:v>
                </c:pt>
                <c:pt idx="64">
                  <c:v>127</c:v>
                </c:pt>
                <c:pt idx="65">
                  <c:v>130</c:v>
                </c:pt>
                <c:pt idx="66">
                  <c:v>131</c:v>
                </c:pt>
                <c:pt idx="67">
                  <c:v>134</c:v>
                </c:pt>
                <c:pt idx="68">
                  <c:v>135</c:v>
                </c:pt>
                <c:pt idx="69">
                  <c:v>138</c:v>
                </c:pt>
                <c:pt idx="70">
                  <c:v>139</c:v>
                </c:pt>
                <c:pt idx="71">
                  <c:v>142</c:v>
                </c:pt>
                <c:pt idx="72">
                  <c:v>143</c:v>
                </c:pt>
                <c:pt idx="73">
                  <c:v>146</c:v>
                </c:pt>
                <c:pt idx="74">
                  <c:v>147</c:v>
                </c:pt>
                <c:pt idx="75">
                  <c:v>150</c:v>
                </c:pt>
                <c:pt idx="76">
                  <c:v>151</c:v>
                </c:pt>
                <c:pt idx="77">
                  <c:v>154</c:v>
                </c:pt>
                <c:pt idx="78">
                  <c:v>155</c:v>
                </c:pt>
                <c:pt idx="79">
                  <c:v>158</c:v>
                </c:pt>
                <c:pt idx="80">
                  <c:v>159</c:v>
                </c:pt>
                <c:pt idx="81">
                  <c:v>162</c:v>
                </c:pt>
                <c:pt idx="82">
                  <c:v>163</c:v>
                </c:pt>
                <c:pt idx="83">
                  <c:v>166</c:v>
                </c:pt>
                <c:pt idx="84">
                  <c:v>167</c:v>
                </c:pt>
                <c:pt idx="85">
                  <c:v>170</c:v>
                </c:pt>
                <c:pt idx="86">
                  <c:v>171</c:v>
                </c:pt>
                <c:pt idx="87">
                  <c:v>174</c:v>
                </c:pt>
                <c:pt idx="88">
                  <c:v>175</c:v>
                </c:pt>
                <c:pt idx="89">
                  <c:v>178</c:v>
                </c:pt>
                <c:pt idx="90">
                  <c:v>179</c:v>
                </c:pt>
                <c:pt idx="91">
                  <c:v>182</c:v>
                </c:pt>
                <c:pt idx="92">
                  <c:v>183</c:v>
                </c:pt>
                <c:pt idx="93">
                  <c:v>186</c:v>
                </c:pt>
                <c:pt idx="94">
                  <c:v>187</c:v>
                </c:pt>
                <c:pt idx="95">
                  <c:v>190</c:v>
                </c:pt>
                <c:pt idx="96">
                  <c:v>191</c:v>
                </c:pt>
                <c:pt idx="97">
                  <c:v>194</c:v>
                </c:pt>
                <c:pt idx="98">
                  <c:v>195</c:v>
                </c:pt>
                <c:pt idx="99">
                  <c:v>198</c:v>
                </c:pt>
                <c:pt idx="100">
                  <c:v>199</c:v>
                </c:pt>
                <c:pt idx="101">
                  <c:v>202</c:v>
                </c:pt>
                <c:pt idx="102">
                  <c:v>203</c:v>
                </c:pt>
                <c:pt idx="103">
                  <c:v>206</c:v>
                </c:pt>
                <c:pt idx="104">
                  <c:v>207</c:v>
                </c:pt>
                <c:pt idx="105">
                  <c:v>210</c:v>
                </c:pt>
                <c:pt idx="106">
                  <c:v>213</c:v>
                </c:pt>
                <c:pt idx="107">
                  <c:v>214</c:v>
                </c:pt>
                <c:pt idx="108">
                  <c:v>217</c:v>
                </c:pt>
                <c:pt idx="109">
                  <c:v>218</c:v>
                </c:pt>
                <c:pt idx="110">
                  <c:v>221</c:v>
                </c:pt>
                <c:pt idx="111">
                  <c:v>222</c:v>
                </c:pt>
                <c:pt idx="112">
                  <c:v>225</c:v>
                </c:pt>
                <c:pt idx="113">
                  <c:v>226</c:v>
                </c:pt>
                <c:pt idx="114">
                  <c:v>229</c:v>
                </c:pt>
                <c:pt idx="115">
                  <c:v>230</c:v>
                </c:pt>
                <c:pt idx="116">
                  <c:v>233</c:v>
                </c:pt>
                <c:pt idx="117">
                  <c:v>234</c:v>
                </c:pt>
                <c:pt idx="118">
                  <c:v>237</c:v>
                </c:pt>
                <c:pt idx="119">
                  <c:v>238</c:v>
                </c:pt>
                <c:pt idx="120">
                  <c:v>241</c:v>
                </c:pt>
                <c:pt idx="121">
                  <c:v>242</c:v>
                </c:pt>
                <c:pt idx="122">
                  <c:v>245</c:v>
                </c:pt>
                <c:pt idx="123">
                  <c:v>246</c:v>
                </c:pt>
                <c:pt idx="124">
                  <c:v>247</c:v>
                </c:pt>
              </c:numCache>
            </c:numRef>
          </c:xVal>
          <c:yVal>
            <c:numRef>
              <c:f>Calculation!$H$2:$H$126</c:f>
              <c:numCache>
                <c:formatCode>0.00</c:formatCode>
                <c:ptCount val="125"/>
                <c:pt idx="0">
                  <c:v>28730.673419378491</c:v>
                </c:pt>
                <c:pt idx="1">
                  <c:v>27637.530006216992</c:v>
                </c:pt>
                <c:pt idx="2">
                  <c:v>26813.354688519557</c:v>
                </c:pt>
                <c:pt idx="3">
                  <c:v>28542.835407338047</c:v>
                </c:pt>
                <c:pt idx="4">
                  <c:v>26825.452929734693</c:v>
                </c:pt>
                <c:pt idx="5">
                  <c:v>27854.343315504084</c:v>
                </c:pt>
                <c:pt idx="6">
                  <c:v>29767.53114172196</c:v>
                </c:pt>
                <c:pt idx="7">
                  <c:v>27963.71397199441</c:v>
                </c:pt>
                <c:pt idx="8">
                  <c:v>27170.583068034903</c:v>
                </c:pt>
                <c:pt idx="9">
                  <c:v>29315.370381236287</c:v>
                </c:pt>
                <c:pt idx="10">
                  <c:v>27096.688211844124</c:v>
                </c:pt>
                <c:pt idx="11">
                  <c:v>28757.423969064857</c:v>
                </c:pt>
                <c:pt idx="12">
                  <c:v>27139.085405984053</c:v>
                </c:pt>
                <c:pt idx="13">
                  <c:v>30500</c:v>
                </c:pt>
                <c:pt idx="14">
                  <c:v>29625.605667920867</c:v>
                </c:pt>
                <c:pt idx="15">
                  <c:v>28667.729086724892</c:v>
                </c:pt>
                <c:pt idx="16">
                  <c:v>29397.169393991189</c:v>
                </c:pt>
                <c:pt idx="17">
                  <c:v>28176.927910760594</c:v>
                </c:pt>
                <c:pt idx="18">
                  <c:v>29984.380776019025</c:v>
                </c:pt>
                <c:pt idx="19">
                  <c:v>28758.670708685888</c:v>
                </c:pt>
                <c:pt idx="20">
                  <c:v>28906.405106174414</c:v>
                </c:pt>
                <c:pt idx="21">
                  <c:v>28632.475664113121</c:v>
                </c:pt>
                <c:pt idx="22">
                  <c:v>28100.1599203814</c:v>
                </c:pt>
                <c:pt idx="23">
                  <c:v>30000</c:v>
                </c:pt>
                <c:pt idx="24">
                  <c:v>27019.453237761732</c:v>
                </c:pt>
                <c:pt idx="25">
                  <c:v>26799.858997599804</c:v>
                </c:pt>
                <c:pt idx="26">
                  <c:v>28886.790652814507</c:v>
                </c:pt>
                <c:pt idx="27">
                  <c:v>29790.678369530087</c:v>
                </c:pt>
                <c:pt idx="28">
                  <c:v>29544.539797337966</c:v>
                </c:pt>
                <c:pt idx="29">
                  <c:v>29950.345623881982</c:v>
                </c:pt>
                <c:pt idx="30">
                  <c:v>28206.920304202122</c:v>
                </c:pt>
                <c:pt idx="31">
                  <c:v>28456.729955790546</c:v>
                </c:pt>
                <c:pt idx="32">
                  <c:v>27773.706114524339</c:v>
                </c:pt>
                <c:pt idx="33">
                  <c:v>27644.883637819206</c:v>
                </c:pt>
                <c:pt idx="34">
                  <c:v>29372.026106211193</c:v>
                </c:pt>
                <c:pt idx="35">
                  <c:v>26783.063847046575</c:v>
                </c:pt>
                <c:pt idx="36">
                  <c:v>28481.19461303571</c:v>
                </c:pt>
                <c:pt idx="37">
                  <c:v>29666.418411316292</c:v>
                </c:pt>
                <c:pt idx="38">
                  <c:v>28790.742819921608</c:v>
                </c:pt>
                <c:pt idx="39">
                  <c:v>29027.962761193481</c:v>
                </c:pt>
                <c:pt idx="40">
                  <c:v>28847.2670353547</c:v>
                </c:pt>
                <c:pt idx="41">
                  <c:v>28825.619171905833</c:v>
                </c:pt>
                <c:pt idx="42">
                  <c:v>26873.89933142973</c:v>
                </c:pt>
                <c:pt idx="43">
                  <c:v>26928.854963359212</c:v>
                </c:pt>
                <c:pt idx="44">
                  <c:v>27556.352986783273</c:v>
                </c:pt>
                <c:pt idx="45">
                  <c:v>28300.910517374952</c:v>
                </c:pt>
                <c:pt idx="46">
                  <c:v>27325.20598990536</c:v>
                </c:pt>
                <c:pt idx="47">
                  <c:v>27501.839899969495</c:v>
                </c:pt>
                <c:pt idx="48">
                  <c:v>28725.408870523457</c:v>
                </c:pt>
                <c:pt idx="49">
                  <c:v>28677.923751180642</c:v>
                </c:pt>
                <c:pt idx="50">
                  <c:v>26822.872794780535</c:v>
                </c:pt>
                <c:pt idx="51">
                  <c:v>29764.5988810259</c:v>
                </c:pt>
                <c:pt idx="52">
                  <c:v>26750.475237154798</c:v>
                </c:pt>
                <c:pt idx="53">
                  <c:v>29094.990147613931</c:v>
                </c:pt>
                <c:pt idx="54">
                  <c:v>27551.250538820448</c:v>
                </c:pt>
                <c:pt idx="55">
                  <c:v>28274.592843364317</c:v>
                </c:pt>
                <c:pt idx="56">
                  <c:v>27847.999170569212</c:v>
                </c:pt>
                <c:pt idx="57">
                  <c:v>29578.936771424826</c:v>
                </c:pt>
                <c:pt idx="58">
                  <c:v>28925.35133408129</c:v>
                </c:pt>
                <c:pt idx="59">
                  <c:v>29769.613034232003</c:v>
                </c:pt>
                <c:pt idx="60">
                  <c:v>27819.409304031589</c:v>
                </c:pt>
                <c:pt idx="61">
                  <c:v>29445.384498421543</c:v>
                </c:pt>
                <c:pt idx="62">
                  <c:v>27613.467383565443</c:v>
                </c:pt>
                <c:pt idx="63">
                  <c:v>29115.146904176752</c:v>
                </c:pt>
                <c:pt idx="64">
                  <c:v>27531.964326855858</c:v>
                </c:pt>
                <c:pt idx="65">
                  <c:v>28585.134846317822</c:v>
                </c:pt>
                <c:pt idx="66">
                  <c:v>28980.963066015644</c:v>
                </c:pt>
                <c:pt idx="67">
                  <c:v>27230.830630149208</c:v>
                </c:pt>
                <c:pt idx="68">
                  <c:v>27888.211145049765</c:v>
                </c:pt>
                <c:pt idx="69">
                  <c:v>28090.352915635143</c:v>
                </c:pt>
                <c:pt idx="70">
                  <c:v>29651.505127733017</c:v>
                </c:pt>
                <c:pt idx="71">
                  <c:v>29000</c:v>
                </c:pt>
                <c:pt idx="72">
                  <c:v>28524.145876512943</c:v>
                </c:pt>
                <c:pt idx="73">
                  <c:v>27454.39266931605</c:v>
                </c:pt>
                <c:pt idx="74">
                  <c:v>29038.606685622162</c:v>
                </c:pt>
                <c:pt idx="75">
                  <c:v>28592.420044390448</c:v>
                </c:pt>
                <c:pt idx="76">
                  <c:v>27374.981344117652</c:v>
                </c:pt>
                <c:pt idx="77">
                  <c:v>27437.477664468825</c:v>
                </c:pt>
                <c:pt idx="78">
                  <c:v>28306.999145993148</c:v>
                </c:pt>
                <c:pt idx="79">
                  <c:v>26757.999674115646</c:v>
                </c:pt>
                <c:pt idx="80">
                  <c:v>29033.792939674651</c:v>
                </c:pt>
                <c:pt idx="81">
                  <c:v>27279.867180871097</c:v>
                </c:pt>
                <c:pt idx="82">
                  <c:v>27304.798480638623</c:v>
                </c:pt>
                <c:pt idx="83">
                  <c:v>29854.176118483418</c:v>
                </c:pt>
                <c:pt idx="84">
                  <c:v>28707.571358390949</c:v>
                </c:pt>
                <c:pt idx="85">
                  <c:v>27342.791009463785</c:v>
                </c:pt>
                <c:pt idx="86">
                  <c:v>29529.785127733488</c:v>
                </c:pt>
                <c:pt idx="87">
                  <c:v>27843.623377560005</c:v>
                </c:pt>
                <c:pt idx="88">
                  <c:v>29789.97465848281</c:v>
                </c:pt>
                <c:pt idx="89">
                  <c:v>26922.159896788646</c:v>
                </c:pt>
                <c:pt idx="90">
                  <c:v>29000.459207009215</c:v>
                </c:pt>
                <c:pt idx="91">
                  <c:v>29538.474206680607</c:v>
                </c:pt>
                <c:pt idx="92">
                  <c:v>28980.250481952982</c:v>
                </c:pt>
                <c:pt idx="93">
                  <c:v>29170.951832167957</c:v>
                </c:pt>
                <c:pt idx="94">
                  <c:v>29910.586990642703</c:v>
                </c:pt>
                <c:pt idx="95">
                  <c:v>29004.13709753253</c:v>
                </c:pt>
                <c:pt idx="96">
                  <c:v>26914.737655821122</c:v>
                </c:pt>
                <c:pt idx="97">
                  <c:v>28166.062228075094</c:v>
                </c:pt>
                <c:pt idx="98">
                  <c:v>29077.494304413158</c:v>
                </c:pt>
                <c:pt idx="99">
                  <c:v>28917.193208734861</c:v>
                </c:pt>
                <c:pt idx="100">
                  <c:v>28576.107847635965</c:v>
                </c:pt>
                <c:pt idx="101">
                  <c:v>28090.19987978294</c:v>
                </c:pt>
                <c:pt idx="102">
                  <c:v>29620.105844447746</c:v>
                </c:pt>
                <c:pt idx="103">
                  <c:v>27180.995576579753</c:v>
                </c:pt>
                <c:pt idx="104">
                  <c:v>28700.489561928087</c:v>
                </c:pt>
                <c:pt idx="105">
                  <c:v>27735.366226518552</c:v>
                </c:pt>
                <c:pt idx="106">
                  <c:v>29223.099044672563</c:v>
                </c:pt>
                <c:pt idx="107">
                  <c:v>27552.32186986403</c:v>
                </c:pt>
                <c:pt idx="108">
                  <c:v>27750.658233112761</c:v>
                </c:pt>
                <c:pt idx="109">
                  <c:v>29180.465402461024</c:v>
                </c:pt>
                <c:pt idx="110">
                  <c:v>26988.631474936243</c:v>
                </c:pt>
                <c:pt idx="111">
                  <c:v>28488.845148741384</c:v>
                </c:pt>
                <c:pt idx="112">
                  <c:v>28756.297807987958</c:v>
                </c:pt>
                <c:pt idx="113">
                  <c:v>27643.727567651335</c:v>
                </c:pt>
                <c:pt idx="114">
                  <c:v>27073.187872622679</c:v>
                </c:pt>
                <c:pt idx="115">
                  <c:v>27981.732484798402</c:v>
                </c:pt>
                <c:pt idx="116">
                  <c:v>28742.7887003631</c:v>
                </c:pt>
                <c:pt idx="117">
                  <c:v>29766.565570118022</c:v>
                </c:pt>
                <c:pt idx="118">
                  <c:v>27792.393382041595</c:v>
                </c:pt>
                <c:pt idx="119">
                  <c:v>26939.514568625706</c:v>
                </c:pt>
                <c:pt idx="120">
                  <c:v>29109.191385581667</c:v>
                </c:pt>
                <c:pt idx="121">
                  <c:v>27589.014769076304</c:v>
                </c:pt>
                <c:pt idx="122">
                  <c:v>28453.408157971979</c:v>
                </c:pt>
                <c:pt idx="123">
                  <c:v>30234</c:v>
                </c:pt>
                <c:pt idx="124">
                  <c:v>27876.23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C-4E44-AB0C-217092D22019}"/>
            </c:ext>
          </c:extLst>
        </c:ser>
        <c:ser>
          <c:idx val="1"/>
          <c:order val="1"/>
          <c:tx>
            <c:v>Warning Limit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Calculation!$A$2:$A$126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29</c:v>
                </c:pt>
                <c:pt idx="15">
                  <c:v>30</c:v>
                </c:pt>
                <c:pt idx="16">
                  <c:v>33</c:v>
                </c:pt>
                <c:pt idx="17">
                  <c:v>34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55</c:v>
                </c:pt>
                <c:pt idx="29">
                  <c:v>58</c:v>
                </c:pt>
                <c:pt idx="30">
                  <c:v>59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67</c:v>
                </c:pt>
                <c:pt idx="35">
                  <c:v>70</c:v>
                </c:pt>
                <c:pt idx="36">
                  <c:v>71</c:v>
                </c:pt>
                <c:pt idx="37">
                  <c:v>74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82</c:v>
                </c:pt>
                <c:pt idx="42">
                  <c:v>83</c:v>
                </c:pt>
                <c:pt idx="43">
                  <c:v>86</c:v>
                </c:pt>
                <c:pt idx="44">
                  <c:v>87</c:v>
                </c:pt>
                <c:pt idx="45">
                  <c:v>90</c:v>
                </c:pt>
                <c:pt idx="46">
                  <c:v>91</c:v>
                </c:pt>
                <c:pt idx="47">
                  <c:v>94</c:v>
                </c:pt>
                <c:pt idx="48">
                  <c:v>95</c:v>
                </c:pt>
                <c:pt idx="49">
                  <c:v>98</c:v>
                </c:pt>
                <c:pt idx="50">
                  <c:v>99</c:v>
                </c:pt>
                <c:pt idx="51">
                  <c:v>102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110</c:v>
                </c:pt>
                <c:pt idx="56">
                  <c:v>111</c:v>
                </c:pt>
                <c:pt idx="57">
                  <c:v>114</c:v>
                </c:pt>
                <c:pt idx="58">
                  <c:v>115</c:v>
                </c:pt>
                <c:pt idx="59">
                  <c:v>118</c:v>
                </c:pt>
                <c:pt idx="60">
                  <c:v>119</c:v>
                </c:pt>
                <c:pt idx="61">
                  <c:v>122</c:v>
                </c:pt>
                <c:pt idx="62">
                  <c:v>123</c:v>
                </c:pt>
                <c:pt idx="63">
                  <c:v>126</c:v>
                </c:pt>
                <c:pt idx="64">
                  <c:v>127</c:v>
                </c:pt>
                <c:pt idx="65">
                  <c:v>130</c:v>
                </c:pt>
                <c:pt idx="66">
                  <c:v>131</c:v>
                </c:pt>
                <c:pt idx="67">
                  <c:v>134</c:v>
                </c:pt>
                <c:pt idx="68">
                  <c:v>135</c:v>
                </c:pt>
                <c:pt idx="69">
                  <c:v>138</c:v>
                </c:pt>
                <c:pt idx="70">
                  <c:v>139</c:v>
                </c:pt>
                <c:pt idx="71">
                  <c:v>142</c:v>
                </c:pt>
                <c:pt idx="72">
                  <c:v>143</c:v>
                </c:pt>
                <c:pt idx="73">
                  <c:v>146</c:v>
                </c:pt>
                <c:pt idx="74">
                  <c:v>147</c:v>
                </c:pt>
                <c:pt idx="75">
                  <c:v>150</c:v>
                </c:pt>
                <c:pt idx="76">
                  <c:v>151</c:v>
                </c:pt>
                <c:pt idx="77">
                  <c:v>154</c:v>
                </c:pt>
                <c:pt idx="78">
                  <c:v>155</c:v>
                </c:pt>
                <c:pt idx="79">
                  <c:v>158</c:v>
                </c:pt>
                <c:pt idx="80">
                  <c:v>159</c:v>
                </c:pt>
                <c:pt idx="81">
                  <c:v>162</c:v>
                </c:pt>
                <c:pt idx="82">
                  <c:v>163</c:v>
                </c:pt>
                <c:pt idx="83">
                  <c:v>166</c:v>
                </c:pt>
                <c:pt idx="84">
                  <c:v>167</c:v>
                </c:pt>
                <c:pt idx="85">
                  <c:v>170</c:v>
                </c:pt>
                <c:pt idx="86">
                  <c:v>171</c:v>
                </c:pt>
                <c:pt idx="87">
                  <c:v>174</c:v>
                </c:pt>
                <c:pt idx="88">
                  <c:v>175</c:v>
                </c:pt>
                <c:pt idx="89">
                  <c:v>178</c:v>
                </c:pt>
                <c:pt idx="90">
                  <c:v>179</c:v>
                </c:pt>
                <c:pt idx="91">
                  <c:v>182</c:v>
                </c:pt>
                <c:pt idx="92">
                  <c:v>183</c:v>
                </c:pt>
                <c:pt idx="93">
                  <c:v>186</c:v>
                </c:pt>
                <c:pt idx="94">
                  <c:v>187</c:v>
                </c:pt>
                <c:pt idx="95">
                  <c:v>190</c:v>
                </c:pt>
                <c:pt idx="96">
                  <c:v>191</c:v>
                </c:pt>
                <c:pt idx="97">
                  <c:v>194</c:v>
                </c:pt>
                <c:pt idx="98">
                  <c:v>195</c:v>
                </c:pt>
                <c:pt idx="99">
                  <c:v>198</c:v>
                </c:pt>
                <c:pt idx="100">
                  <c:v>199</c:v>
                </c:pt>
                <c:pt idx="101">
                  <c:v>202</c:v>
                </c:pt>
                <c:pt idx="102">
                  <c:v>203</c:v>
                </c:pt>
                <c:pt idx="103">
                  <c:v>206</c:v>
                </c:pt>
                <c:pt idx="104">
                  <c:v>207</c:v>
                </c:pt>
                <c:pt idx="105">
                  <c:v>210</c:v>
                </c:pt>
                <c:pt idx="106">
                  <c:v>213</c:v>
                </c:pt>
                <c:pt idx="107">
                  <c:v>214</c:v>
                </c:pt>
                <c:pt idx="108">
                  <c:v>217</c:v>
                </c:pt>
                <c:pt idx="109">
                  <c:v>218</c:v>
                </c:pt>
                <c:pt idx="110">
                  <c:v>221</c:v>
                </c:pt>
                <c:pt idx="111">
                  <c:v>222</c:v>
                </c:pt>
                <c:pt idx="112">
                  <c:v>225</c:v>
                </c:pt>
                <c:pt idx="113">
                  <c:v>226</c:v>
                </c:pt>
                <c:pt idx="114">
                  <c:v>229</c:v>
                </c:pt>
                <c:pt idx="115">
                  <c:v>230</c:v>
                </c:pt>
                <c:pt idx="116">
                  <c:v>233</c:v>
                </c:pt>
                <c:pt idx="117">
                  <c:v>234</c:v>
                </c:pt>
                <c:pt idx="118">
                  <c:v>237</c:v>
                </c:pt>
                <c:pt idx="119">
                  <c:v>238</c:v>
                </c:pt>
                <c:pt idx="120">
                  <c:v>241</c:v>
                </c:pt>
                <c:pt idx="121">
                  <c:v>242</c:v>
                </c:pt>
                <c:pt idx="122">
                  <c:v>245</c:v>
                </c:pt>
                <c:pt idx="123">
                  <c:v>246</c:v>
                </c:pt>
                <c:pt idx="124">
                  <c:v>247</c:v>
                </c:pt>
              </c:numCache>
            </c:numRef>
          </c:xVal>
          <c:yVal>
            <c:numRef>
              <c:f>Calculation!$T$2:$T$126</c:f>
              <c:numCache>
                <c:formatCode>General</c:formatCode>
                <c:ptCount val="125"/>
                <c:pt idx="9">
                  <c:v>30092.338008848437</c:v>
                </c:pt>
                <c:pt idx="10">
                  <c:v>30092.338008848437</c:v>
                </c:pt>
                <c:pt idx="11">
                  <c:v>30092.338008848437</c:v>
                </c:pt>
                <c:pt idx="12">
                  <c:v>30092.338008848437</c:v>
                </c:pt>
                <c:pt idx="13">
                  <c:v>30092.338008848437</c:v>
                </c:pt>
                <c:pt idx="14">
                  <c:v>30092.338008848437</c:v>
                </c:pt>
                <c:pt idx="15">
                  <c:v>30092.338008848437</c:v>
                </c:pt>
                <c:pt idx="16">
                  <c:v>30092.338008848437</c:v>
                </c:pt>
                <c:pt idx="17">
                  <c:v>30092.338008848437</c:v>
                </c:pt>
                <c:pt idx="18">
                  <c:v>30092.338008848437</c:v>
                </c:pt>
                <c:pt idx="19">
                  <c:v>30092.338008848437</c:v>
                </c:pt>
                <c:pt idx="20">
                  <c:v>30092.338008848437</c:v>
                </c:pt>
                <c:pt idx="21">
                  <c:v>30092.338008848437</c:v>
                </c:pt>
                <c:pt idx="22">
                  <c:v>30092.338008848437</c:v>
                </c:pt>
                <c:pt idx="23">
                  <c:v>30092.338008848437</c:v>
                </c:pt>
                <c:pt idx="24">
                  <c:v>30092.338008848437</c:v>
                </c:pt>
                <c:pt idx="25">
                  <c:v>30092.338008848437</c:v>
                </c:pt>
                <c:pt idx="26">
                  <c:v>30092.338008848437</c:v>
                </c:pt>
                <c:pt idx="27">
                  <c:v>30092.338008848437</c:v>
                </c:pt>
                <c:pt idx="28">
                  <c:v>30092.338008848437</c:v>
                </c:pt>
                <c:pt idx="29">
                  <c:v>30092.338008848437</c:v>
                </c:pt>
                <c:pt idx="30">
                  <c:v>30092.338008848437</c:v>
                </c:pt>
                <c:pt idx="31">
                  <c:v>30092.338008848437</c:v>
                </c:pt>
                <c:pt idx="32">
                  <c:v>30092.338008848437</c:v>
                </c:pt>
                <c:pt idx="33">
                  <c:v>30092.338008848437</c:v>
                </c:pt>
                <c:pt idx="34">
                  <c:v>30092.338008848437</c:v>
                </c:pt>
                <c:pt idx="35">
                  <c:v>30092.338008848437</c:v>
                </c:pt>
                <c:pt idx="36">
                  <c:v>30092.338008848437</c:v>
                </c:pt>
                <c:pt idx="37">
                  <c:v>30092.338008848437</c:v>
                </c:pt>
                <c:pt idx="38">
                  <c:v>30092.338008848437</c:v>
                </c:pt>
                <c:pt idx="39">
                  <c:v>30092.338008848437</c:v>
                </c:pt>
                <c:pt idx="40">
                  <c:v>30092.338008848437</c:v>
                </c:pt>
                <c:pt idx="41">
                  <c:v>30092.338008848437</c:v>
                </c:pt>
                <c:pt idx="42">
                  <c:v>30092.338008848437</c:v>
                </c:pt>
                <c:pt idx="43">
                  <c:v>30092.338008848437</c:v>
                </c:pt>
                <c:pt idx="44">
                  <c:v>30092.338008848437</c:v>
                </c:pt>
                <c:pt idx="45">
                  <c:v>30092.338008848437</c:v>
                </c:pt>
                <c:pt idx="46">
                  <c:v>30092.338008848437</c:v>
                </c:pt>
                <c:pt idx="47">
                  <c:v>30092.338008848437</c:v>
                </c:pt>
                <c:pt idx="48">
                  <c:v>30092.338008848437</c:v>
                </c:pt>
                <c:pt idx="49">
                  <c:v>30092.338008848437</c:v>
                </c:pt>
                <c:pt idx="50">
                  <c:v>30092.338008848437</c:v>
                </c:pt>
                <c:pt idx="51">
                  <c:v>30092.338008848437</c:v>
                </c:pt>
                <c:pt idx="52">
                  <c:v>30092.338008848437</c:v>
                </c:pt>
                <c:pt idx="53">
                  <c:v>30092.338008848437</c:v>
                </c:pt>
                <c:pt idx="54">
                  <c:v>30092.338008848437</c:v>
                </c:pt>
                <c:pt idx="55">
                  <c:v>30092.338008848437</c:v>
                </c:pt>
                <c:pt idx="56">
                  <c:v>30092.338008848437</c:v>
                </c:pt>
                <c:pt idx="57">
                  <c:v>30092.338008848437</c:v>
                </c:pt>
                <c:pt idx="58">
                  <c:v>30092.338008848437</c:v>
                </c:pt>
                <c:pt idx="59">
                  <c:v>30092.338008848437</c:v>
                </c:pt>
                <c:pt idx="60">
                  <c:v>30092.338008848437</c:v>
                </c:pt>
                <c:pt idx="61">
                  <c:v>30092.338008848437</c:v>
                </c:pt>
                <c:pt idx="62">
                  <c:v>30092.338008848437</c:v>
                </c:pt>
                <c:pt idx="63">
                  <c:v>30092.338008848437</c:v>
                </c:pt>
                <c:pt idx="64">
                  <c:v>30092.338008848437</c:v>
                </c:pt>
                <c:pt idx="65">
                  <c:v>30092.338008848437</c:v>
                </c:pt>
                <c:pt idx="66">
                  <c:v>30092.338008848437</c:v>
                </c:pt>
                <c:pt idx="67">
                  <c:v>30092.338008848437</c:v>
                </c:pt>
                <c:pt idx="68">
                  <c:v>30092.338008848437</c:v>
                </c:pt>
                <c:pt idx="69">
                  <c:v>30092.338008848437</c:v>
                </c:pt>
                <c:pt idx="70">
                  <c:v>30092.338008848437</c:v>
                </c:pt>
                <c:pt idx="71">
                  <c:v>30092.338008848437</c:v>
                </c:pt>
                <c:pt idx="72">
                  <c:v>30092.338008848437</c:v>
                </c:pt>
                <c:pt idx="73">
                  <c:v>30092.338008848437</c:v>
                </c:pt>
                <c:pt idx="74">
                  <c:v>30092.338008848437</c:v>
                </c:pt>
                <c:pt idx="75">
                  <c:v>30092.338008848437</c:v>
                </c:pt>
                <c:pt idx="76">
                  <c:v>30092.338008848437</c:v>
                </c:pt>
                <c:pt idx="77">
                  <c:v>30092.338008848437</c:v>
                </c:pt>
                <c:pt idx="78">
                  <c:v>30092.338008848437</c:v>
                </c:pt>
                <c:pt idx="79">
                  <c:v>30092.338008848437</c:v>
                </c:pt>
                <c:pt idx="80">
                  <c:v>30092.338008848437</c:v>
                </c:pt>
                <c:pt idx="81">
                  <c:v>30092.338008848437</c:v>
                </c:pt>
                <c:pt idx="82">
                  <c:v>30092.338008848437</c:v>
                </c:pt>
                <c:pt idx="83">
                  <c:v>30092.338008848437</c:v>
                </c:pt>
                <c:pt idx="84">
                  <c:v>30092.338008848437</c:v>
                </c:pt>
                <c:pt idx="85">
                  <c:v>30092.338008848437</c:v>
                </c:pt>
                <c:pt idx="86">
                  <c:v>30092.338008848437</c:v>
                </c:pt>
                <c:pt idx="87">
                  <c:v>30092.338008848437</c:v>
                </c:pt>
                <c:pt idx="88">
                  <c:v>30092.338008848437</c:v>
                </c:pt>
                <c:pt idx="89">
                  <c:v>30092.338008848437</c:v>
                </c:pt>
                <c:pt idx="90">
                  <c:v>30092.338008848437</c:v>
                </c:pt>
                <c:pt idx="91">
                  <c:v>30092.338008848437</c:v>
                </c:pt>
                <c:pt idx="92">
                  <c:v>30092.338008848437</c:v>
                </c:pt>
                <c:pt idx="93">
                  <c:v>30092.338008848437</c:v>
                </c:pt>
                <c:pt idx="94">
                  <c:v>30092.338008848437</c:v>
                </c:pt>
                <c:pt idx="95">
                  <c:v>30092.338008848437</c:v>
                </c:pt>
                <c:pt idx="96">
                  <c:v>30092.338008848437</c:v>
                </c:pt>
                <c:pt idx="97">
                  <c:v>30092.338008848437</c:v>
                </c:pt>
                <c:pt idx="98">
                  <c:v>30092.338008848437</c:v>
                </c:pt>
                <c:pt idx="99">
                  <c:v>30092.338008848437</c:v>
                </c:pt>
                <c:pt idx="100">
                  <c:v>30092.338008848437</c:v>
                </c:pt>
                <c:pt idx="101">
                  <c:v>30092.338008848437</c:v>
                </c:pt>
                <c:pt idx="102">
                  <c:v>30092.338008848437</c:v>
                </c:pt>
                <c:pt idx="103">
                  <c:v>30092.338008848437</c:v>
                </c:pt>
                <c:pt idx="104">
                  <c:v>30092.338008848437</c:v>
                </c:pt>
                <c:pt idx="105">
                  <c:v>30092.338008848437</c:v>
                </c:pt>
                <c:pt idx="106">
                  <c:v>30092.338008848437</c:v>
                </c:pt>
                <c:pt idx="107">
                  <c:v>30092.338008848437</c:v>
                </c:pt>
                <c:pt idx="108">
                  <c:v>30092.338008848437</c:v>
                </c:pt>
                <c:pt idx="109">
                  <c:v>30092.338008848437</c:v>
                </c:pt>
                <c:pt idx="110">
                  <c:v>30092.338008848437</c:v>
                </c:pt>
                <c:pt idx="111">
                  <c:v>30092.338008848437</c:v>
                </c:pt>
                <c:pt idx="112">
                  <c:v>30092.338008848437</c:v>
                </c:pt>
                <c:pt idx="113">
                  <c:v>30092.338008848437</c:v>
                </c:pt>
                <c:pt idx="114">
                  <c:v>30092.338008848437</c:v>
                </c:pt>
                <c:pt idx="115">
                  <c:v>30092.338008848437</c:v>
                </c:pt>
                <c:pt idx="116">
                  <c:v>30092.338008848437</c:v>
                </c:pt>
                <c:pt idx="117">
                  <c:v>30092.338008848437</c:v>
                </c:pt>
                <c:pt idx="118">
                  <c:v>30092.338008848437</c:v>
                </c:pt>
                <c:pt idx="119">
                  <c:v>30092.338008848437</c:v>
                </c:pt>
                <c:pt idx="120">
                  <c:v>30092.338008848437</c:v>
                </c:pt>
                <c:pt idx="121">
                  <c:v>30092.338008848437</c:v>
                </c:pt>
                <c:pt idx="122">
                  <c:v>30092.338008848437</c:v>
                </c:pt>
                <c:pt idx="123">
                  <c:v>30092.338008848437</c:v>
                </c:pt>
                <c:pt idx="124">
                  <c:v>30092.338008848437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7C-4E44-AB0C-217092D22019}"/>
            </c:ext>
          </c:extLst>
        </c:ser>
        <c:ser>
          <c:idx val="2"/>
          <c:order val="2"/>
          <c:tx>
            <c:v>Action 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Calculation!$A$2:$A$126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29</c:v>
                </c:pt>
                <c:pt idx="15">
                  <c:v>30</c:v>
                </c:pt>
                <c:pt idx="16">
                  <c:v>33</c:v>
                </c:pt>
                <c:pt idx="17">
                  <c:v>34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55</c:v>
                </c:pt>
                <c:pt idx="29">
                  <c:v>58</c:v>
                </c:pt>
                <c:pt idx="30">
                  <c:v>59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67</c:v>
                </c:pt>
                <c:pt idx="35">
                  <c:v>70</c:v>
                </c:pt>
                <c:pt idx="36">
                  <c:v>71</c:v>
                </c:pt>
                <c:pt idx="37">
                  <c:v>74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82</c:v>
                </c:pt>
                <c:pt idx="42">
                  <c:v>83</c:v>
                </c:pt>
                <c:pt idx="43">
                  <c:v>86</c:v>
                </c:pt>
                <c:pt idx="44">
                  <c:v>87</c:v>
                </c:pt>
                <c:pt idx="45">
                  <c:v>90</c:v>
                </c:pt>
                <c:pt idx="46">
                  <c:v>91</c:v>
                </c:pt>
                <c:pt idx="47">
                  <c:v>94</c:v>
                </c:pt>
                <c:pt idx="48">
                  <c:v>95</c:v>
                </c:pt>
                <c:pt idx="49">
                  <c:v>98</c:v>
                </c:pt>
                <c:pt idx="50">
                  <c:v>99</c:v>
                </c:pt>
                <c:pt idx="51">
                  <c:v>102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110</c:v>
                </c:pt>
                <c:pt idx="56">
                  <c:v>111</c:v>
                </c:pt>
                <c:pt idx="57">
                  <c:v>114</c:v>
                </c:pt>
                <c:pt idx="58">
                  <c:v>115</c:v>
                </c:pt>
                <c:pt idx="59">
                  <c:v>118</c:v>
                </c:pt>
                <c:pt idx="60">
                  <c:v>119</c:v>
                </c:pt>
                <c:pt idx="61">
                  <c:v>122</c:v>
                </c:pt>
                <c:pt idx="62">
                  <c:v>123</c:v>
                </c:pt>
                <c:pt idx="63">
                  <c:v>126</c:v>
                </c:pt>
                <c:pt idx="64">
                  <c:v>127</c:v>
                </c:pt>
                <c:pt idx="65">
                  <c:v>130</c:v>
                </c:pt>
                <c:pt idx="66">
                  <c:v>131</c:v>
                </c:pt>
                <c:pt idx="67">
                  <c:v>134</c:v>
                </c:pt>
                <c:pt idx="68">
                  <c:v>135</c:v>
                </c:pt>
                <c:pt idx="69">
                  <c:v>138</c:v>
                </c:pt>
                <c:pt idx="70">
                  <c:v>139</c:v>
                </c:pt>
                <c:pt idx="71">
                  <c:v>142</c:v>
                </c:pt>
                <c:pt idx="72">
                  <c:v>143</c:v>
                </c:pt>
                <c:pt idx="73">
                  <c:v>146</c:v>
                </c:pt>
                <c:pt idx="74">
                  <c:v>147</c:v>
                </c:pt>
                <c:pt idx="75">
                  <c:v>150</c:v>
                </c:pt>
                <c:pt idx="76">
                  <c:v>151</c:v>
                </c:pt>
                <c:pt idx="77">
                  <c:v>154</c:v>
                </c:pt>
                <c:pt idx="78">
                  <c:v>155</c:v>
                </c:pt>
                <c:pt idx="79">
                  <c:v>158</c:v>
                </c:pt>
                <c:pt idx="80">
                  <c:v>159</c:v>
                </c:pt>
                <c:pt idx="81">
                  <c:v>162</c:v>
                </c:pt>
                <c:pt idx="82">
                  <c:v>163</c:v>
                </c:pt>
                <c:pt idx="83">
                  <c:v>166</c:v>
                </c:pt>
                <c:pt idx="84">
                  <c:v>167</c:v>
                </c:pt>
                <c:pt idx="85">
                  <c:v>170</c:v>
                </c:pt>
                <c:pt idx="86">
                  <c:v>171</c:v>
                </c:pt>
                <c:pt idx="87">
                  <c:v>174</c:v>
                </c:pt>
                <c:pt idx="88">
                  <c:v>175</c:v>
                </c:pt>
                <c:pt idx="89">
                  <c:v>178</c:v>
                </c:pt>
                <c:pt idx="90">
                  <c:v>179</c:v>
                </c:pt>
                <c:pt idx="91">
                  <c:v>182</c:v>
                </c:pt>
                <c:pt idx="92">
                  <c:v>183</c:v>
                </c:pt>
                <c:pt idx="93">
                  <c:v>186</c:v>
                </c:pt>
                <c:pt idx="94">
                  <c:v>187</c:v>
                </c:pt>
                <c:pt idx="95">
                  <c:v>190</c:v>
                </c:pt>
                <c:pt idx="96">
                  <c:v>191</c:v>
                </c:pt>
                <c:pt idx="97">
                  <c:v>194</c:v>
                </c:pt>
                <c:pt idx="98">
                  <c:v>195</c:v>
                </c:pt>
                <c:pt idx="99">
                  <c:v>198</c:v>
                </c:pt>
                <c:pt idx="100">
                  <c:v>199</c:v>
                </c:pt>
                <c:pt idx="101">
                  <c:v>202</c:v>
                </c:pt>
                <c:pt idx="102">
                  <c:v>203</c:v>
                </c:pt>
                <c:pt idx="103">
                  <c:v>206</c:v>
                </c:pt>
                <c:pt idx="104">
                  <c:v>207</c:v>
                </c:pt>
                <c:pt idx="105">
                  <c:v>210</c:v>
                </c:pt>
                <c:pt idx="106">
                  <c:v>213</c:v>
                </c:pt>
                <c:pt idx="107">
                  <c:v>214</c:v>
                </c:pt>
                <c:pt idx="108">
                  <c:v>217</c:v>
                </c:pt>
                <c:pt idx="109">
                  <c:v>218</c:v>
                </c:pt>
                <c:pt idx="110">
                  <c:v>221</c:v>
                </c:pt>
                <c:pt idx="111">
                  <c:v>222</c:v>
                </c:pt>
                <c:pt idx="112">
                  <c:v>225</c:v>
                </c:pt>
                <c:pt idx="113">
                  <c:v>226</c:v>
                </c:pt>
                <c:pt idx="114">
                  <c:v>229</c:v>
                </c:pt>
                <c:pt idx="115">
                  <c:v>230</c:v>
                </c:pt>
                <c:pt idx="116">
                  <c:v>233</c:v>
                </c:pt>
                <c:pt idx="117">
                  <c:v>234</c:v>
                </c:pt>
                <c:pt idx="118">
                  <c:v>237</c:v>
                </c:pt>
                <c:pt idx="119">
                  <c:v>238</c:v>
                </c:pt>
                <c:pt idx="120">
                  <c:v>241</c:v>
                </c:pt>
                <c:pt idx="121">
                  <c:v>242</c:v>
                </c:pt>
                <c:pt idx="122">
                  <c:v>245</c:v>
                </c:pt>
                <c:pt idx="123">
                  <c:v>246</c:v>
                </c:pt>
                <c:pt idx="124">
                  <c:v>247</c:v>
                </c:pt>
              </c:numCache>
            </c:numRef>
          </c:xVal>
          <c:yVal>
            <c:numRef>
              <c:f>Calculation!$U$2:$U$126</c:f>
              <c:numCache>
                <c:formatCode>General</c:formatCode>
                <c:ptCount val="125"/>
                <c:pt idx="9">
                  <c:v>31107.437596788681</c:v>
                </c:pt>
                <c:pt idx="10">
                  <c:v>31107.437596788681</c:v>
                </c:pt>
                <c:pt idx="11">
                  <c:v>31107.437596788681</c:v>
                </c:pt>
                <c:pt idx="12">
                  <c:v>31107.437596788681</c:v>
                </c:pt>
                <c:pt idx="13">
                  <c:v>31107.437596788681</c:v>
                </c:pt>
                <c:pt idx="14">
                  <c:v>31107.437596788681</c:v>
                </c:pt>
                <c:pt idx="15">
                  <c:v>31107.437596788681</c:v>
                </c:pt>
                <c:pt idx="16">
                  <c:v>31107.437596788681</c:v>
                </c:pt>
                <c:pt idx="17">
                  <c:v>31107.437596788681</c:v>
                </c:pt>
                <c:pt idx="18">
                  <c:v>31107.437596788681</c:v>
                </c:pt>
                <c:pt idx="19">
                  <c:v>31107.437596788681</c:v>
                </c:pt>
                <c:pt idx="20">
                  <c:v>31107.437596788681</c:v>
                </c:pt>
                <c:pt idx="21">
                  <c:v>31107.437596788681</c:v>
                </c:pt>
                <c:pt idx="22">
                  <c:v>31107.437596788681</c:v>
                </c:pt>
                <c:pt idx="23">
                  <c:v>31107.437596788681</c:v>
                </c:pt>
                <c:pt idx="24">
                  <c:v>31107.437596788681</c:v>
                </c:pt>
                <c:pt idx="25">
                  <c:v>31107.437596788681</c:v>
                </c:pt>
                <c:pt idx="26">
                  <c:v>31107.437596788681</c:v>
                </c:pt>
                <c:pt idx="27">
                  <c:v>31107.437596788681</c:v>
                </c:pt>
                <c:pt idx="28">
                  <c:v>31107.437596788681</c:v>
                </c:pt>
                <c:pt idx="29">
                  <c:v>31107.437596788681</c:v>
                </c:pt>
                <c:pt idx="30">
                  <c:v>31107.437596788681</c:v>
                </c:pt>
                <c:pt idx="31">
                  <c:v>31107.437596788681</c:v>
                </c:pt>
                <c:pt idx="32">
                  <c:v>31107.437596788681</c:v>
                </c:pt>
                <c:pt idx="33">
                  <c:v>31107.437596788681</c:v>
                </c:pt>
                <c:pt idx="34">
                  <c:v>31107.437596788681</c:v>
                </c:pt>
                <c:pt idx="35">
                  <c:v>31107.437596788681</c:v>
                </c:pt>
                <c:pt idx="36">
                  <c:v>31107.437596788681</c:v>
                </c:pt>
                <c:pt idx="37">
                  <c:v>31107.437596788681</c:v>
                </c:pt>
                <c:pt idx="38">
                  <c:v>31107.437596788681</c:v>
                </c:pt>
                <c:pt idx="39">
                  <c:v>31107.437596788681</c:v>
                </c:pt>
                <c:pt idx="40">
                  <c:v>31107.437596788681</c:v>
                </c:pt>
                <c:pt idx="41">
                  <c:v>31107.437596788681</c:v>
                </c:pt>
                <c:pt idx="42">
                  <c:v>31107.437596788681</c:v>
                </c:pt>
                <c:pt idx="43">
                  <c:v>31107.437596788681</c:v>
                </c:pt>
                <c:pt idx="44">
                  <c:v>31107.437596788681</c:v>
                </c:pt>
                <c:pt idx="45">
                  <c:v>31107.437596788681</c:v>
                </c:pt>
                <c:pt idx="46">
                  <c:v>31107.437596788681</c:v>
                </c:pt>
                <c:pt idx="47">
                  <c:v>31107.437596788681</c:v>
                </c:pt>
                <c:pt idx="48">
                  <c:v>31107.437596788681</c:v>
                </c:pt>
                <c:pt idx="49">
                  <c:v>31107.437596788681</c:v>
                </c:pt>
                <c:pt idx="50">
                  <c:v>31107.437596788681</c:v>
                </c:pt>
                <c:pt idx="51">
                  <c:v>31107.437596788681</c:v>
                </c:pt>
                <c:pt idx="52">
                  <c:v>31107.437596788681</c:v>
                </c:pt>
                <c:pt idx="53">
                  <c:v>31107.437596788681</c:v>
                </c:pt>
                <c:pt idx="54">
                  <c:v>31107.437596788681</c:v>
                </c:pt>
                <c:pt idx="55">
                  <c:v>31107.437596788681</c:v>
                </c:pt>
                <c:pt idx="56">
                  <c:v>31107.437596788681</c:v>
                </c:pt>
                <c:pt idx="57">
                  <c:v>31107.437596788681</c:v>
                </c:pt>
                <c:pt idx="58">
                  <c:v>31107.437596788681</c:v>
                </c:pt>
                <c:pt idx="59">
                  <c:v>31107.437596788681</c:v>
                </c:pt>
                <c:pt idx="60">
                  <c:v>31107.437596788681</c:v>
                </c:pt>
                <c:pt idx="61">
                  <c:v>31107.437596788681</c:v>
                </c:pt>
                <c:pt idx="62">
                  <c:v>31107.437596788681</c:v>
                </c:pt>
                <c:pt idx="63">
                  <c:v>31107.437596788681</c:v>
                </c:pt>
                <c:pt idx="64">
                  <c:v>31107.437596788681</c:v>
                </c:pt>
                <c:pt idx="65">
                  <c:v>31107.437596788681</c:v>
                </c:pt>
                <c:pt idx="66">
                  <c:v>31107.437596788681</c:v>
                </c:pt>
                <c:pt idx="67">
                  <c:v>31107.437596788681</c:v>
                </c:pt>
                <c:pt idx="68">
                  <c:v>31107.437596788681</c:v>
                </c:pt>
                <c:pt idx="69">
                  <c:v>31107.437596788681</c:v>
                </c:pt>
                <c:pt idx="70">
                  <c:v>31107.437596788681</c:v>
                </c:pt>
                <c:pt idx="71">
                  <c:v>31107.437596788681</c:v>
                </c:pt>
                <c:pt idx="72">
                  <c:v>31107.437596788681</c:v>
                </c:pt>
                <c:pt idx="73">
                  <c:v>31107.437596788681</c:v>
                </c:pt>
                <c:pt idx="74">
                  <c:v>31107.437596788681</c:v>
                </c:pt>
                <c:pt idx="75">
                  <c:v>31107.437596788681</c:v>
                </c:pt>
                <c:pt idx="76">
                  <c:v>31107.437596788681</c:v>
                </c:pt>
                <c:pt idx="77">
                  <c:v>31107.437596788681</c:v>
                </c:pt>
                <c:pt idx="78">
                  <c:v>31107.437596788681</c:v>
                </c:pt>
                <c:pt idx="79">
                  <c:v>31107.437596788681</c:v>
                </c:pt>
                <c:pt idx="80">
                  <c:v>31107.437596788681</c:v>
                </c:pt>
                <c:pt idx="81">
                  <c:v>31107.437596788681</c:v>
                </c:pt>
                <c:pt idx="82">
                  <c:v>31107.437596788681</c:v>
                </c:pt>
                <c:pt idx="83">
                  <c:v>31107.437596788681</c:v>
                </c:pt>
                <c:pt idx="84">
                  <c:v>31107.437596788681</c:v>
                </c:pt>
                <c:pt idx="85">
                  <c:v>31107.437596788681</c:v>
                </c:pt>
                <c:pt idx="86">
                  <c:v>31107.437596788681</c:v>
                </c:pt>
                <c:pt idx="87">
                  <c:v>31107.437596788681</c:v>
                </c:pt>
                <c:pt idx="88">
                  <c:v>31107.437596788681</c:v>
                </c:pt>
                <c:pt idx="89">
                  <c:v>31107.437596788681</c:v>
                </c:pt>
                <c:pt idx="90">
                  <c:v>31107.437596788681</c:v>
                </c:pt>
                <c:pt idx="91">
                  <c:v>31107.437596788681</c:v>
                </c:pt>
                <c:pt idx="92">
                  <c:v>31107.437596788681</c:v>
                </c:pt>
                <c:pt idx="93">
                  <c:v>31107.437596788681</c:v>
                </c:pt>
                <c:pt idx="94">
                  <c:v>31107.437596788681</c:v>
                </c:pt>
                <c:pt idx="95">
                  <c:v>31107.437596788681</c:v>
                </c:pt>
                <c:pt idx="96">
                  <c:v>31107.437596788681</c:v>
                </c:pt>
                <c:pt idx="97">
                  <c:v>31107.437596788681</c:v>
                </c:pt>
                <c:pt idx="98">
                  <c:v>31107.437596788681</c:v>
                </c:pt>
                <c:pt idx="99">
                  <c:v>31107.437596788681</c:v>
                </c:pt>
                <c:pt idx="100">
                  <c:v>31107.437596788681</c:v>
                </c:pt>
                <c:pt idx="101">
                  <c:v>31107.437596788681</c:v>
                </c:pt>
                <c:pt idx="102">
                  <c:v>31107.437596788681</c:v>
                </c:pt>
                <c:pt idx="103">
                  <c:v>31107.437596788681</c:v>
                </c:pt>
                <c:pt idx="104">
                  <c:v>31107.437596788681</c:v>
                </c:pt>
                <c:pt idx="105">
                  <c:v>31107.437596788681</c:v>
                </c:pt>
                <c:pt idx="106">
                  <c:v>31107.437596788681</c:v>
                </c:pt>
                <c:pt idx="107">
                  <c:v>31107.437596788681</c:v>
                </c:pt>
                <c:pt idx="108">
                  <c:v>31107.437596788681</c:v>
                </c:pt>
                <c:pt idx="109">
                  <c:v>31107.437596788681</c:v>
                </c:pt>
                <c:pt idx="110">
                  <c:v>31107.437596788681</c:v>
                </c:pt>
                <c:pt idx="111">
                  <c:v>31107.437596788681</c:v>
                </c:pt>
                <c:pt idx="112">
                  <c:v>31107.437596788681</c:v>
                </c:pt>
                <c:pt idx="113">
                  <c:v>31107.437596788681</c:v>
                </c:pt>
                <c:pt idx="114">
                  <c:v>31107.437596788681</c:v>
                </c:pt>
                <c:pt idx="115">
                  <c:v>31107.437596788681</c:v>
                </c:pt>
                <c:pt idx="116">
                  <c:v>31107.437596788681</c:v>
                </c:pt>
                <c:pt idx="117">
                  <c:v>31107.437596788681</c:v>
                </c:pt>
                <c:pt idx="118">
                  <c:v>31107.437596788681</c:v>
                </c:pt>
                <c:pt idx="119">
                  <c:v>31107.437596788681</c:v>
                </c:pt>
                <c:pt idx="120">
                  <c:v>31107.437596788681</c:v>
                </c:pt>
                <c:pt idx="121">
                  <c:v>31107.437596788681</c:v>
                </c:pt>
                <c:pt idx="122">
                  <c:v>31107.437596788681</c:v>
                </c:pt>
                <c:pt idx="123">
                  <c:v>31107.437596788681</c:v>
                </c:pt>
                <c:pt idx="124">
                  <c:v>31107.437596788681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7C-4E44-AB0C-217092D22019}"/>
            </c:ext>
          </c:extLst>
        </c:ser>
        <c:ser>
          <c:idx val="3"/>
          <c:order val="3"/>
          <c:tx>
            <c:v>Warning Limit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Calculation!$A$2:$A$126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29</c:v>
                </c:pt>
                <c:pt idx="15">
                  <c:v>30</c:v>
                </c:pt>
                <c:pt idx="16">
                  <c:v>33</c:v>
                </c:pt>
                <c:pt idx="17">
                  <c:v>34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55</c:v>
                </c:pt>
                <c:pt idx="29">
                  <c:v>58</c:v>
                </c:pt>
                <c:pt idx="30">
                  <c:v>59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67</c:v>
                </c:pt>
                <c:pt idx="35">
                  <c:v>70</c:v>
                </c:pt>
                <c:pt idx="36">
                  <c:v>71</c:v>
                </c:pt>
                <c:pt idx="37">
                  <c:v>74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82</c:v>
                </c:pt>
                <c:pt idx="42">
                  <c:v>83</c:v>
                </c:pt>
                <c:pt idx="43">
                  <c:v>86</c:v>
                </c:pt>
                <c:pt idx="44">
                  <c:v>87</c:v>
                </c:pt>
                <c:pt idx="45">
                  <c:v>90</c:v>
                </c:pt>
                <c:pt idx="46">
                  <c:v>91</c:v>
                </c:pt>
                <c:pt idx="47">
                  <c:v>94</c:v>
                </c:pt>
                <c:pt idx="48">
                  <c:v>95</c:v>
                </c:pt>
                <c:pt idx="49">
                  <c:v>98</c:v>
                </c:pt>
                <c:pt idx="50">
                  <c:v>99</c:v>
                </c:pt>
                <c:pt idx="51">
                  <c:v>102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110</c:v>
                </c:pt>
                <c:pt idx="56">
                  <c:v>111</c:v>
                </c:pt>
                <c:pt idx="57">
                  <c:v>114</c:v>
                </c:pt>
                <c:pt idx="58">
                  <c:v>115</c:v>
                </c:pt>
                <c:pt idx="59">
                  <c:v>118</c:v>
                </c:pt>
                <c:pt idx="60">
                  <c:v>119</c:v>
                </c:pt>
                <c:pt idx="61">
                  <c:v>122</c:v>
                </c:pt>
                <c:pt idx="62">
                  <c:v>123</c:v>
                </c:pt>
                <c:pt idx="63">
                  <c:v>126</c:v>
                </c:pt>
                <c:pt idx="64">
                  <c:v>127</c:v>
                </c:pt>
                <c:pt idx="65">
                  <c:v>130</c:v>
                </c:pt>
                <c:pt idx="66">
                  <c:v>131</c:v>
                </c:pt>
                <c:pt idx="67">
                  <c:v>134</c:v>
                </c:pt>
                <c:pt idx="68">
                  <c:v>135</c:v>
                </c:pt>
                <c:pt idx="69">
                  <c:v>138</c:v>
                </c:pt>
                <c:pt idx="70">
                  <c:v>139</c:v>
                </c:pt>
                <c:pt idx="71">
                  <c:v>142</c:v>
                </c:pt>
                <c:pt idx="72">
                  <c:v>143</c:v>
                </c:pt>
                <c:pt idx="73">
                  <c:v>146</c:v>
                </c:pt>
                <c:pt idx="74">
                  <c:v>147</c:v>
                </c:pt>
                <c:pt idx="75">
                  <c:v>150</c:v>
                </c:pt>
                <c:pt idx="76">
                  <c:v>151</c:v>
                </c:pt>
                <c:pt idx="77">
                  <c:v>154</c:v>
                </c:pt>
                <c:pt idx="78">
                  <c:v>155</c:v>
                </c:pt>
                <c:pt idx="79">
                  <c:v>158</c:v>
                </c:pt>
                <c:pt idx="80">
                  <c:v>159</c:v>
                </c:pt>
                <c:pt idx="81">
                  <c:v>162</c:v>
                </c:pt>
                <c:pt idx="82">
                  <c:v>163</c:v>
                </c:pt>
                <c:pt idx="83">
                  <c:v>166</c:v>
                </c:pt>
                <c:pt idx="84">
                  <c:v>167</c:v>
                </c:pt>
                <c:pt idx="85">
                  <c:v>170</c:v>
                </c:pt>
                <c:pt idx="86">
                  <c:v>171</c:v>
                </c:pt>
                <c:pt idx="87">
                  <c:v>174</c:v>
                </c:pt>
                <c:pt idx="88">
                  <c:v>175</c:v>
                </c:pt>
                <c:pt idx="89">
                  <c:v>178</c:v>
                </c:pt>
                <c:pt idx="90">
                  <c:v>179</c:v>
                </c:pt>
                <c:pt idx="91">
                  <c:v>182</c:v>
                </c:pt>
                <c:pt idx="92">
                  <c:v>183</c:v>
                </c:pt>
                <c:pt idx="93">
                  <c:v>186</c:v>
                </c:pt>
                <c:pt idx="94">
                  <c:v>187</c:v>
                </c:pt>
                <c:pt idx="95">
                  <c:v>190</c:v>
                </c:pt>
                <c:pt idx="96">
                  <c:v>191</c:v>
                </c:pt>
                <c:pt idx="97">
                  <c:v>194</c:v>
                </c:pt>
                <c:pt idx="98">
                  <c:v>195</c:v>
                </c:pt>
                <c:pt idx="99">
                  <c:v>198</c:v>
                </c:pt>
                <c:pt idx="100">
                  <c:v>199</c:v>
                </c:pt>
                <c:pt idx="101">
                  <c:v>202</c:v>
                </c:pt>
                <c:pt idx="102">
                  <c:v>203</c:v>
                </c:pt>
                <c:pt idx="103">
                  <c:v>206</c:v>
                </c:pt>
                <c:pt idx="104">
                  <c:v>207</c:v>
                </c:pt>
                <c:pt idx="105">
                  <c:v>210</c:v>
                </c:pt>
                <c:pt idx="106">
                  <c:v>213</c:v>
                </c:pt>
                <c:pt idx="107">
                  <c:v>214</c:v>
                </c:pt>
                <c:pt idx="108">
                  <c:v>217</c:v>
                </c:pt>
                <c:pt idx="109">
                  <c:v>218</c:v>
                </c:pt>
                <c:pt idx="110">
                  <c:v>221</c:v>
                </c:pt>
                <c:pt idx="111">
                  <c:v>222</c:v>
                </c:pt>
                <c:pt idx="112">
                  <c:v>225</c:v>
                </c:pt>
                <c:pt idx="113">
                  <c:v>226</c:v>
                </c:pt>
                <c:pt idx="114">
                  <c:v>229</c:v>
                </c:pt>
                <c:pt idx="115">
                  <c:v>230</c:v>
                </c:pt>
                <c:pt idx="116">
                  <c:v>233</c:v>
                </c:pt>
                <c:pt idx="117">
                  <c:v>234</c:v>
                </c:pt>
                <c:pt idx="118">
                  <c:v>237</c:v>
                </c:pt>
                <c:pt idx="119">
                  <c:v>238</c:v>
                </c:pt>
                <c:pt idx="120">
                  <c:v>241</c:v>
                </c:pt>
                <c:pt idx="121">
                  <c:v>242</c:v>
                </c:pt>
                <c:pt idx="122">
                  <c:v>245</c:v>
                </c:pt>
                <c:pt idx="123">
                  <c:v>246</c:v>
                </c:pt>
                <c:pt idx="124">
                  <c:v>247</c:v>
                </c:pt>
              </c:numCache>
            </c:numRef>
          </c:xVal>
          <c:yVal>
            <c:numRef>
              <c:f>Calculation!$V$2:$V$126</c:f>
              <c:numCache>
                <c:formatCode>General</c:formatCode>
                <c:ptCount val="125"/>
                <c:pt idx="9">
                  <c:v>26031.939657087449</c:v>
                </c:pt>
                <c:pt idx="10">
                  <c:v>26031.939657087449</c:v>
                </c:pt>
                <c:pt idx="11">
                  <c:v>26031.939657087449</c:v>
                </c:pt>
                <c:pt idx="12">
                  <c:v>26031.939657087449</c:v>
                </c:pt>
                <c:pt idx="13">
                  <c:v>26031.939657087449</c:v>
                </c:pt>
                <c:pt idx="14">
                  <c:v>26031.939657087449</c:v>
                </c:pt>
                <c:pt idx="15">
                  <c:v>26031.939657087449</c:v>
                </c:pt>
                <c:pt idx="16">
                  <c:v>26031.939657087449</c:v>
                </c:pt>
                <c:pt idx="17">
                  <c:v>26031.939657087449</c:v>
                </c:pt>
                <c:pt idx="18">
                  <c:v>26031.939657087449</c:v>
                </c:pt>
                <c:pt idx="19">
                  <c:v>26031.939657087449</c:v>
                </c:pt>
                <c:pt idx="20">
                  <c:v>26031.939657087449</c:v>
                </c:pt>
                <c:pt idx="21">
                  <c:v>26031.939657087449</c:v>
                </c:pt>
                <c:pt idx="22">
                  <c:v>26031.939657087449</c:v>
                </c:pt>
                <c:pt idx="23">
                  <c:v>26031.939657087449</c:v>
                </c:pt>
                <c:pt idx="24">
                  <c:v>26031.939657087449</c:v>
                </c:pt>
                <c:pt idx="25">
                  <c:v>26031.939657087449</c:v>
                </c:pt>
                <c:pt idx="26">
                  <c:v>26031.939657087449</c:v>
                </c:pt>
                <c:pt idx="27">
                  <c:v>26031.939657087449</c:v>
                </c:pt>
                <c:pt idx="28">
                  <c:v>26031.939657087449</c:v>
                </c:pt>
                <c:pt idx="29">
                  <c:v>26031.939657087449</c:v>
                </c:pt>
                <c:pt idx="30">
                  <c:v>26031.939657087449</c:v>
                </c:pt>
                <c:pt idx="31">
                  <c:v>26031.939657087449</c:v>
                </c:pt>
                <c:pt idx="32">
                  <c:v>26031.939657087449</c:v>
                </c:pt>
                <c:pt idx="33">
                  <c:v>26031.939657087449</c:v>
                </c:pt>
                <c:pt idx="34">
                  <c:v>26031.939657087449</c:v>
                </c:pt>
                <c:pt idx="35">
                  <c:v>26031.939657087449</c:v>
                </c:pt>
                <c:pt idx="36">
                  <c:v>26031.939657087449</c:v>
                </c:pt>
                <c:pt idx="37">
                  <c:v>26031.939657087449</c:v>
                </c:pt>
                <c:pt idx="38">
                  <c:v>26031.939657087449</c:v>
                </c:pt>
                <c:pt idx="39">
                  <c:v>26031.939657087449</c:v>
                </c:pt>
                <c:pt idx="40">
                  <c:v>26031.939657087449</c:v>
                </c:pt>
                <c:pt idx="41">
                  <c:v>26031.939657087449</c:v>
                </c:pt>
                <c:pt idx="42">
                  <c:v>26031.939657087449</c:v>
                </c:pt>
                <c:pt idx="43">
                  <c:v>26031.939657087449</c:v>
                </c:pt>
                <c:pt idx="44">
                  <c:v>26031.939657087449</c:v>
                </c:pt>
                <c:pt idx="45">
                  <c:v>26031.939657087449</c:v>
                </c:pt>
                <c:pt idx="46">
                  <c:v>26031.939657087449</c:v>
                </c:pt>
                <c:pt idx="47">
                  <c:v>26031.939657087449</c:v>
                </c:pt>
                <c:pt idx="48">
                  <c:v>26031.939657087449</c:v>
                </c:pt>
                <c:pt idx="49">
                  <c:v>26031.939657087449</c:v>
                </c:pt>
                <c:pt idx="50">
                  <c:v>26031.939657087449</c:v>
                </c:pt>
                <c:pt idx="51">
                  <c:v>26031.939657087449</c:v>
                </c:pt>
                <c:pt idx="52">
                  <c:v>26031.939657087449</c:v>
                </c:pt>
                <c:pt idx="53">
                  <c:v>26031.939657087449</c:v>
                </c:pt>
                <c:pt idx="54">
                  <c:v>26031.939657087449</c:v>
                </c:pt>
                <c:pt idx="55">
                  <c:v>26031.939657087449</c:v>
                </c:pt>
                <c:pt idx="56">
                  <c:v>26031.939657087449</c:v>
                </c:pt>
                <c:pt idx="57">
                  <c:v>26031.939657087449</c:v>
                </c:pt>
                <c:pt idx="58">
                  <c:v>26031.939657087449</c:v>
                </c:pt>
                <c:pt idx="59">
                  <c:v>26031.939657087449</c:v>
                </c:pt>
                <c:pt idx="60">
                  <c:v>26031.939657087449</c:v>
                </c:pt>
                <c:pt idx="61">
                  <c:v>26031.939657087449</c:v>
                </c:pt>
                <c:pt idx="62">
                  <c:v>26031.939657087449</c:v>
                </c:pt>
                <c:pt idx="63">
                  <c:v>26031.939657087449</c:v>
                </c:pt>
                <c:pt idx="64">
                  <c:v>26031.939657087449</c:v>
                </c:pt>
                <c:pt idx="65">
                  <c:v>26031.939657087449</c:v>
                </c:pt>
                <c:pt idx="66">
                  <c:v>26031.939657087449</c:v>
                </c:pt>
                <c:pt idx="67">
                  <c:v>26031.939657087449</c:v>
                </c:pt>
                <c:pt idx="68">
                  <c:v>26031.939657087449</c:v>
                </c:pt>
                <c:pt idx="69">
                  <c:v>26031.939657087449</c:v>
                </c:pt>
                <c:pt idx="70">
                  <c:v>26031.939657087449</c:v>
                </c:pt>
                <c:pt idx="71">
                  <c:v>26031.939657087449</c:v>
                </c:pt>
                <c:pt idx="72">
                  <c:v>26031.939657087449</c:v>
                </c:pt>
                <c:pt idx="73">
                  <c:v>26031.939657087449</c:v>
                </c:pt>
                <c:pt idx="74">
                  <c:v>26031.939657087449</c:v>
                </c:pt>
                <c:pt idx="75">
                  <c:v>26031.939657087449</c:v>
                </c:pt>
                <c:pt idx="76">
                  <c:v>26031.939657087449</c:v>
                </c:pt>
                <c:pt idx="77">
                  <c:v>26031.939657087449</c:v>
                </c:pt>
                <c:pt idx="78">
                  <c:v>26031.939657087449</c:v>
                </c:pt>
                <c:pt idx="79">
                  <c:v>26031.939657087449</c:v>
                </c:pt>
                <c:pt idx="80">
                  <c:v>26031.939657087449</c:v>
                </c:pt>
                <c:pt idx="81">
                  <c:v>26031.939657087449</c:v>
                </c:pt>
                <c:pt idx="82">
                  <c:v>26031.939657087449</c:v>
                </c:pt>
                <c:pt idx="83">
                  <c:v>26031.939657087449</c:v>
                </c:pt>
                <c:pt idx="84">
                  <c:v>26031.939657087449</c:v>
                </c:pt>
                <c:pt idx="85">
                  <c:v>26031.939657087449</c:v>
                </c:pt>
                <c:pt idx="86">
                  <c:v>26031.939657087449</c:v>
                </c:pt>
                <c:pt idx="87">
                  <c:v>26031.939657087449</c:v>
                </c:pt>
                <c:pt idx="88">
                  <c:v>26031.939657087449</c:v>
                </c:pt>
                <c:pt idx="89">
                  <c:v>26031.939657087449</c:v>
                </c:pt>
                <c:pt idx="90">
                  <c:v>26031.939657087449</c:v>
                </c:pt>
                <c:pt idx="91">
                  <c:v>26031.939657087449</c:v>
                </c:pt>
                <c:pt idx="92">
                  <c:v>26031.939657087449</c:v>
                </c:pt>
                <c:pt idx="93">
                  <c:v>26031.939657087449</c:v>
                </c:pt>
                <c:pt idx="94">
                  <c:v>26031.939657087449</c:v>
                </c:pt>
                <c:pt idx="95">
                  <c:v>26031.939657087449</c:v>
                </c:pt>
                <c:pt idx="96">
                  <c:v>26031.939657087449</c:v>
                </c:pt>
                <c:pt idx="97">
                  <c:v>26031.939657087449</c:v>
                </c:pt>
                <c:pt idx="98">
                  <c:v>26031.939657087449</c:v>
                </c:pt>
                <c:pt idx="99">
                  <c:v>26031.939657087449</c:v>
                </c:pt>
                <c:pt idx="100">
                  <c:v>26031.939657087449</c:v>
                </c:pt>
                <c:pt idx="101">
                  <c:v>26031.939657087449</c:v>
                </c:pt>
                <c:pt idx="102">
                  <c:v>26031.939657087449</c:v>
                </c:pt>
                <c:pt idx="103">
                  <c:v>26031.939657087449</c:v>
                </c:pt>
                <c:pt idx="104">
                  <c:v>26031.939657087449</c:v>
                </c:pt>
                <c:pt idx="105">
                  <c:v>26031.939657087449</c:v>
                </c:pt>
                <c:pt idx="106">
                  <c:v>26031.939657087449</c:v>
                </c:pt>
                <c:pt idx="107">
                  <c:v>26031.939657087449</c:v>
                </c:pt>
                <c:pt idx="108">
                  <c:v>26031.939657087449</c:v>
                </c:pt>
                <c:pt idx="109">
                  <c:v>26031.939657087449</c:v>
                </c:pt>
                <c:pt idx="110">
                  <c:v>26031.939657087449</c:v>
                </c:pt>
                <c:pt idx="111">
                  <c:v>26031.939657087449</c:v>
                </c:pt>
                <c:pt idx="112">
                  <c:v>26031.939657087449</c:v>
                </c:pt>
                <c:pt idx="113">
                  <c:v>26031.939657087449</c:v>
                </c:pt>
                <c:pt idx="114">
                  <c:v>26031.939657087449</c:v>
                </c:pt>
                <c:pt idx="115">
                  <c:v>26031.939657087449</c:v>
                </c:pt>
                <c:pt idx="116">
                  <c:v>26031.939657087449</c:v>
                </c:pt>
                <c:pt idx="117">
                  <c:v>26031.939657087449</c:v>
                </c:pt>
                <c:pt idx="118">
                  <c:v>26031.939657087449</c:v>
                </c:pt>
                <c:pt idx="119">
                  <c:v>26031.939657087449</c:v>
                </c:pt>
                <c:pt idx="120">
                  <c:v>26031.939657087449</c:v>
                </c:pt>
                <c:pt idx="121">
                  <c:v>26031.939657087449</c:v>
                </c:pt>
                <c:pt idx="122">
                  <c:v>26031.939657087449</c:v>
                </c:pt>
                <c:pt idx="123">
                  <c:v>26031.939657087449</c:v>
                </c:pt>
                <c:pt idx="124">
                  <c:v>26031.939657087449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7C-4E44-AB0C-217092D22019}"/>
            </c:ext>
          </c:extLst>
        </c:ser>
        <c:ser>
          <c:idx val="4"/>
          <c:order val="4"/>
          <c:tx>
            <c:v>Action Limit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Calculation!$A$2:$A$126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21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29</c:v>
                </c:pt>
                <c:pt idx="15">
                  <c:v>30</c:v>
                </c:pt>
                <c:pt idx="16">
                  <c:v>33</c:v>
                </c:pt>
                <c:pt idx="17">
                  <c:v>34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55</c:v>
                </c:pt>
                <c:pt idx="29">
                  <c:v>58</c:v>
                </c:pt>
                <c:pt idx="30">
                  <c:v>59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67</c:v>
                </c:pt>
                <c:pt idx="35">
                  <c:v>70</c:v>
                </c:pt>
                <c:pt idx="36">
                  <c:v>71</c:v>
                </c:pt>
                <c:pt idx="37">
                  <c:v>74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82</c:v>
                </c:pt>
                <c:pt idx="42">
                  <c:v>83</c:v>
                </c:pt>
                <c:pt idx="43">
                  <c:v>86</c:v>
                </c:pt>
                <c:pt idx="44">
                  <c:v>87</c:v>
                </c:pt>
                <c:pt idx="45">
                  <c:v>90</c:v>
                </c:pt>
                <c:pt idx="46">
                  <c:v>91</c:v>
                </c:pt>
                <c:pt idx="47">
                  <c:v>94</c:v>
                </c:pt>
                <c:pt idx="48">
                  <c:v>95</c:v>
                </c:pt>
                <c:pt idx="49">
                  <c:v>98</c:v>
                </c:pt>
                <c:pt idx="50">
                  <c:v>99</c:v>
                </c:pt>
                <c:pt idx="51">
                  <c:v>102</c:v>
                </c:pt>
                <c:pt idx="52">
                  <c:v>103</c:v>
                </c:pt>
                <c:pt idx="53">
                  <c:v>106</c:v>
                </c:pt>
                <c:pt idx="54">
                  <c:v>107</c:v>
                </c:pt>
                <c:pt idx="55">
                  <c:v>110</c:v>
                </c:pt>
                <c:pt idx="56">
                  <c:v>111</c:v>
                </c:pt>
                <c:pt idx="57">
                  <c:v>114</c:v>
                </c:pt>
                <c:pt idx="58">
                  <c:v>115</c:v>
                </c:pt>
                <c:pt idx="59">
                  <c:v>118</c:v>
                </c:pt>
                <c:pt idx="60">
                  <c:v>119</c:v>
                </c:pt>
                <c:pt idx="61">
                  <c:v>122</c:v>
                </c:pt>
                <c:pt idx="62">
                  <c:v>123</c:v>
                </c:pt>
                <c:pt idx="63">
                  <c:v>126</c:v>
                </c:pt>
                <c:pt idx="64">
                  <c:v>127</c:v>
                </c:pt>
                <c:pt idx="65">
                  <c:v>130</c:v>
                </c:pt>
                <c:pt idx="66">
                  <c:v>131</c:v>
                </c:pt>
                <c:pt idx="67">
                  <c:v>134</c:v>
                </c:pt>
                <c:pt idx="68">
                  <c:v>135</c:v>
                </c:pt>
                <c:pt idx="69">
                  <c:v>138</c:v>
                </c:pt>
                <c:pt idx="70">
                  <c:v>139</c:v>
                </c:pt>
                <c:pt idx="71">
                  <c:v>142</c:v>
                </c:pt>
                <c:pt idx="72">
                  <c:v>143</c:v>
                </c:pt>
                <c:pt idx="73">
                  <c:v>146</c:v>
                </c:pt>
                <c:pt idx="74">
                  <c:v>147</c:v>
                </c:pt>
                <c:pt idx="75">
                  <c:v>150</c:v>
                </c:pt>
                <c:pt idx="76">
                  <c:v>151</c:v>
                </c:pt>
                <c:pt idx="77">
                  <c:v>154</c:v>
                </c:pt>
                <c:pt idx="78">
                  <c:v>155</c:v>
                </c:pt>
                <c:pt idx="79">
                  <c:v>158</c:v>
                </c:pt>
                <c:pt idx="80">
                  <c:v>159</c:v>
                </c:pt>
                <c:pt idx="81">
                  <c:v>162</c:v>
                </c:pt>
                <c:pt idx="82">
                  <c:v>163</c:v>
                </c:pt>
                <c:pt idx="83">
                  <c:v>166</c:v>
                </c:pt>
                <c:pt idx="84">
                  <c:v>167</c:v>
                </c:pt>
                <c:pt idx="85">
                  <c:v>170</c:v>
                </c:pt>
                <c:pt idx="86">
                  <c:v>171</c:v>
                </c:pt>
                <c:pt idx="87">
                  <c:v>174</c:v>
                </c:pt>
                <c:pt idx="88">
                  <c:v>175</c:v>
                </c:pt>
                <c:pt idx="89">
                  <c:v>178</c:v>
                </c:pt>
                <c:pt idx="90">
                  <c:v>179</c:v>
                </c:pt>
                <c:pt idx="91">
                  <c:v>182</c:v>
                </c:pt>
                <c:pt idx="92">
                  <c:v>183</c:v>
                </c:pt>
                <c:pt idx="93">
                  <c:v>186</c:v>
                </c:pt>
                <c:pt idx="94">
                  <c:v>187</c:v>
                </c:pt>
                <c:pt idx="95">
                  <c:v>190</c:v>
                </c:pt>
                <c:pt idx="96">
                  <c:v>191</c:v>
                </c:pt>
                <c:pt idx="97">
                  <c:v>194</c:v>
                </c:pt>
                <c:pt idx="98">
                  <c:v>195</c:v>
                </c:pt>
                <c:pt idx="99">
                  <c:v>198</c:v>
                </c:pt>
                <c:pt idx="100">
                  <c:v>199</c:v>
                </c:pt>
                <c:pt idx="101">
                  <c:v>202</c:v>
                </c:pt>
                <c:pt idx="102">
                  <c:v>203</c:v>
                </c:pt>
                <c:pt idx="103">
                  <c:v>206</c:v>
                </c:pt>
                <c:pt idx="104">
                  <c:v>207</c:v>
                </c:pt>
                <c:pt idx="105">
                  <c:v>210</c:v>
                </c:pt>
                <c:pt idx="106">
                  <c:v>213</c:v>
                </c:pt>
                <c:pt idx="107">
                  <c:v>214</c:v>
                </c:pt>
                <c:pt idx="108">
                  <c:v>217</c:v>
                </c:pt>
                <c:pt idx="109">
                  <c:v>218</c:v>
                </c:pt>
                <c:pt idx="110">
                  <c:v>221</c:v>
                </c:pt>
                <c:pt idx="111">
                  <c:v>222</c:v>
                </c:pt>
                <c:pt idx="112">
                  <c:v>225</c:v>
                </c:pt>
                <c:pt idx="113">
                  <c:v>226</c:v>
                </c:pt>
                <c:pt idx="114">
                  <c:v>229</c:v>
                </c:pt>
                <c:pt idx="115">
                  <c:v>230</c:v>
                </c:pt>
                <c:pt idx="116">
                  <c:v>233</c:v>
                </c:pt>
                <c:pt idx="117">
                  <c:v>234</c:v>
                </c:pt>
                <c:pt idx="118">
                  <c:v>237</c:v>
                </c:pt>
                <c:pt idx="119">
                  <c:v>238</c:v>
                </c:pt>
                <c:pt idx="120">
                  <c:v>241</c:v>
                </c:pt>
                <c:pt idx="121">
                  <c:v>242</c:v>
                </c:pt>
                <c:pt idx="122">
                  <c:v>245</c:v>
                </c:pt>
                <c:pt idx="123">
                  <c:v>246</c:v>
                </c:pt>
                <c:pt idx="124">
                  <c:v>247</c:v>
                </c:pt>
              </c:numCache>
            </c:numRef>
          </c:xVal>
          <c:yVal>
            <c:numRef>
              <c:f>Calculation!$W$2:$W$126</c:f>
              <c:numCache>
                <c:formatCode>General</c:formatCode>
                <c:ptCount val="125"/>
                <c:pt idx="9">
                  <c:v>25016.840069147205</c:v>
                </c:pt>
                <c:pt idx="10">
                  <c:v>25016.840069147205</c:v>
                </c:pt>
                <c:pt idx="11">
                  <c:v>25016.840069147205</c:v>
                </c:pt>
                <c:pt idx="12">
                  <c:v>25016.840069147205</c:v>
                </c:pt>
                <c:pt idx="13">
                  <c:v>25016.840069147205</c:v>
                </c:pt>
                <c:pt idx="14">
                  <c:v>25016.840069147205</c:v>
                </c:pt>
                <c:pt idx="15">
                  <c:v>25016.840069147205</c:v>
                </c:pt>
                <c:pt idx="16">
                  <c:v>25016.840069147205</c:v>
                </c:pt>
                <c:pt idx="17">
                  <c:v>25016.840069147205</c:v>
                </c:pt>
                <c:pt idx="18">
                  <c:v>25016.840069147205</c:v>
                </c:pt>
                <c:pt idx="19">
                  <c:v>25016.840069147205</c:v>
                </c:pt>
                <c:pt idx="20">
                  <c:v>25016.840069147205</c:v>
                </c:pt>
                <c:pt idx="21">
                  <c:v>25016.840069147205</c:v>
                </c:pt>
                <c:pt idx="22">
                  <c:v>25016.840069147205</c:v>
                </c:pt>
                <c:pt idx="23">
                  <c:v>25016.840069147205</c:v>
                </c:pt>
                <c:pt idx="24">
                  <c:v>25016.840069147205</c:v>
                </c:pt>
                <c:pt idx="25">
                  <c:v>25016.840069147205</c:v>
                </c:pt>
                <c:pt idx="26">
                  <c:v>25016.840069147205</c:v>
                </c:pt>
                <c:pt idx="27">
                  <c:v>25016.840069147205</c:v>
                </c:pt>
                <c:pt idx="28">
                  <c:v>25016.840069147205</c:v>
                </c:pt>
                <c:pt idx="29">
                  <c:v>25016.840069147205</c:v>
                </c:pt>
                <c:pt idx="30">
                  <c:v>25016.840069147205</c:v>
                </c:pt>
                <c:pt idx="31">
                  <c:v>25016.840069147205</c:v>
                </c:pt>
                <c:pt idx="32">
                  <c:v>25016.840069147205</c:v>
                </c:pt>
                <c:pt idx="33">
                  <c:v>25016.840069147205</c:v>
                </c:pt>
                <c:pt idx="34">
                  <c:v>25016.840069147205</c:v>
                </c:pt>
                <c:pt idx="35">
                  <c:v>25016.840069147205</c:v>
                </c:pt>
                <c:pt idx="36">
                  <c:v>25016.840069147205</c:v>
                </c:pt>
                <c:pt idx="37">
                  <c:v>25016.840069147205</c:v>
                </c:pt>
                <c:pt idx="38">
                  <c:v>25016.840069147205</c:v>
                </c:pt>
                <c:pt idx="39">
                  <c:v>25016.840069147205</c:v>
                </c:pt>
                <c:pt idx="40">
                  <c:v>25016.840069147205</c:v>
                </c:pt>
                <c:pt idx="41">
                  <c:v>25016.840069147205</c:v>
                </c:pt>
                <c:pt idx="42">
                  <c:v>25016.840069147205</c:v>
                </c:pt>
                <c:pt idx="43">
                  <c:v>25016.840069147205</c:v>
                </c:pt>
                <c:pt idx="44">
                  <c:v>25016.840069147205</c:v>
                </c:pt>
                <c:pt idx="45">
                  <c:v>25016.840069147205</c:v>
                </c:pt>
                <c:pt idx="46">
                  <c:v>25016.840069147205</c:v>
                </c:pt>
                <c:pt idx="47">
                  <c:v>25016.840069147205</c:v>
                </c:pt>
                <c:pt idx="48">
                  <c:v>25016.840069147205</c:v>
                </c:pt>
                <c:pt idx="49">
                  <c:v>25016.840069147205</c:v>
                </c:pt>
                <c:pt idx="50">
                  <c:v>25016.840069147205</c:v>
                </c:pt>
                <c:pt idx="51">
                  <c:v>25016.840069147205</c:v>
                </c:pt>
                <c:pt idx="52">
                  <c:v>25016.840069147205</c:v>
                </c:pt>
                <c:pt idx="53">
                  <c:v>25016.840069147205</c:v>
                </c:pt>
                <c:pt idx="54">
                  <c:v>25016.840069147205</c:v>
                </c:pt>
                <c:pt idx="55">
                  <c:v>25016.840069147205</c:v>
                </c:pt>
                <c:pt idx="56">
                  <c:v>25016.840069147205</c:v>
                </c:pt>
                <c:pt idx="57">
                  <c:v>25016.840069147205</c:v>
                </c:pt>
                <c:pt idx="58">
                  <c:v>25016.840069147205</c:v>
                </c:pt>
                <c:pt idx="59">
                  <c:v>25016.840069147205</c:v>
                </c:pt>
                <c:pt idx="60">
                  <c:v>25016.840069147205</c:v>
                </c:pt>
                <c:pt idx="61">
                  <c:v>25016.840069147205</c:v>
                </c:pt>
                <c:pt idx="62">
                  <c:v>25016.840069147205</c:v>
                </c:pt>
                <c:pt idx="63">
                  <c:v>25016.840069147205</c:v>
                </c:pt>
                <c:pt idx="64">
                  <c:v>25016.840069147205</c:v>
                </c:pt>
                <c:pt idx="65">
                  <c:v>25016.840069147205</c:v>
                </c:pt>
                <c:pt idx="66">
                  <c:v>25016.840069147205</c:v>
                </c:pt>
                <c:pt idx="67">
                  <c:v>25016.840069147205</c:v>
                </c:pt>
                <c:pt idx="68">
                  <c:v>25016.840069147205</c:v>
                </c:pt>
                <c:pt idx="69">
                  <c:v>25016.840069147205</c:v>
                </c:pt>
                <c:pt idx="70">
                  <c:v>25016.840069147205</c:v>
                </c:pt>
                <c:pt idx="71">
                  <c:v>25016.840069147205</c:v>
                </c:pt>
                <c:pt idx="72">
                  <c:v>25016.840069147205</c:v>
                </c:pt>
                <c:pt idx="73">
                  <c:v>25016.840069147205</c:v>
                </c:pt>
                <c:pt idx="74">
                  <c:v>25016.840069147205</c:v>
                </c:pt>
                <c:pt idx="75">
                  <c:v>25016.840069147205</c:v>
                </c:pt>
                <c:pt idx="76">
                  <c:v>25016.840069147205</c:v>
                </c:pt>
                <c:pt idx="77">
                  <c:v>25016.840069147205</c:v>
                </c:pt>
                <c:pt idx="78">
                  <c:v>25016.840069147205</c:v>
                </c:pt>
                <c:pt idx="79">
                  <c:v>25016.840069147205</c:v>
                </c:pt>
                <c:pt idx="80">
                  <c:v>25016.840069147205</c:v>
                </c:pt>
                <c:pt idx="81">
                  <c:v>25016.840069147205</c:v>
                </c:pt>
                <c:pt idx="82">
                  <c:v>25016.840069147205</c:v>
                </c:pt>
                <c:pt idx="83">
                  <c:v>25016.840069147205</c:v>
                </c:pt>
                <c:pt idx="84">
                  <c:v>25016.840069147205</c:v>
                </c:pt>
                <c:pt idx="85">
                  <c:v>25016.840069147205</c:v>
                </c:pt>
                <c:pt idx="86">
                  <c:v>25016.840069147205</c:v>
                </c:pt>
                <c:pt idx="87">
                  <c:v>25016.840069147205</c:v>
                </c:pt>
                <c:pt idx="88">
                  <c:v>25016.840069147205</c:v>
                </c:pt>
                <c:pt idx="89">
                  <c:v>25016.840069147205</c:v>
                </c:pt>
                <c:pt idx="90">
                  <c:v>25016.840069147205</c:v>
                </c:pt>
                <c:pt idx="91">
                  <c:v>25016.840069147205</c:v>
                </c:pt>
                <c:pt idx="92">
                  <c:v>25016.840069147205</c:v>
                </c:pt>
                <c:pt idx="93">
                  <c:v>25016.840069147205</c:v>
                </c:pt>
                <c:pt idx="94">
                  <c:v>25016.840069147205</c:v>
                </c:pt>
                <c:pt idx="95">
                  <c:v>25016.840069147205</c:v>
                </c:pt>
                <c:pt idx="96">
                  <c:v>25016.840069147205</c:v>
                </c:pt>
                <c:pt idx="97">
                  <c:v>25016.840069147205</c:v>
                </c:pt>
                <c:pt idx="98">
                  <c:v>25016.840069147205</c:v>
                </c:pt>
                <c:pt idx="99">
                  <c:v>25016.840069147205</c:v>
                </c:pt>
                <c:pt idx="100">
                  <c:v>25016.840069147205</c:v>
                </c:pt>
                <c:pt idx="101">
                  <c:v>25016.840069147205</c:v>
                </c:pt>
                <c:pt idx="102">
                  <c:v>25016.840069147205</c:v>
                </c:pt>
                <c:pt idx="103">
                  <c:v>25016.840069147205</c:v>
                </c:pt>
                <c:pt idx="104">
                  <c:v>25016.840069147205</c:v>
                </c:pt>
                <c:pt idx="105">
                  <c:v>25016.840069147205</c:v>
                </c:pt>
                <c:pt idx="106">
                  <c:v>25016.840069147205</c:v>
                </c:pt>
                <c:pt idx="107">
                  <c:v>25016.840069147205</c:v>
                </c:pt>
                <c:pt idx="108">
                  <c:v>25016.840069147205</c:v>
                </c:pt>
                <c:pt idx="109">
                  <c:v>25016.840069147205</c:v>
                </c:pt>
                <c:pt idx="110">
                  <c:v>25016.840069147205</c:v>
                </c:pt>
                <c:pt idx="111">
                  <c:v>25016.840069147205</c:v>
                </c:pt>
                <c:pt idx="112">
                  <c:v>25016.840069147205</c:v>
                </c:pt>
                <c:pt idx="113">
                  <c:v>25016.840069147205</c:v>
                </c:pt>
                <c:pt idx="114">
                  <c:v>25016.840069147205</c:v>
                </c:pt>
                <c:pt idx="115">
                  <c:v>25016.840069147205</c:v>
                </c:pt>
                <c:pt idx="116">
                  <c:v>25016.840069147205</c:v>
                </c:pt>
                <c:pt idx="117">
                  <c:v>25016.840069147205</c:v>
                </c:pt>
                <c:pt idx="118">
                  <c:v>25016.840069147205</c:v>
                </c:pt>
                <c:pt idx="119">
                  <c:v>25016.840069147205</c:v>
                </c:pt>
                <c:pt idx="120">
                  <c:v>25016.840069147205</c:v>
                </c:pt>
                <c:pt idx="121">
                  <c:v>25016.840069147205</c:v>
                </c:pt>
                <c:pt idx="122">
                  <c:v>25016.840069147205</c:v>
                </c:pt>
                <c:pt idx="123">
                  <c:v>25016.840069147205</c:v>
                </c:pt>
                <c:pt idx="124">
                  <c:v>25016.840069147205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7C-4E44-AB0C-217092D22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705951"/>
        <c:axId val="867007039"/>
      </c:scatterChart>
      <c:valAx>
        <c:axId val="856705951"/>
        <c:scaling>
          <c:orientation val="minMax"/>
          <c:max val="24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Prove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007039"/>
        <c:crosses val="autoZero"/>
        <c:crossBetween val="midCat"/>
      </c:valAx>
      <c:valAx>
        <c:axId val="867007039"/>
        <c:scaling>
          <c:orientation val="minMax"/>
          <c:max val="34465"/>
          <c:min val="23272.91345632467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705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36</xdr:row>
      <xdr:rowOff>80961</xdr:rowOff>
    </xdr:from>
    <xdr:to>
      <xdr:col>13</xdr:col>
      <xdr:colOff>438150</xdr:colOff>
      <xdr:row>66</xdr:row>
      <xdr:rowOff>0</xdr:rowOff>
    </xdr:to>
    <xdr:graphicFrame macro="">
      <xdr:nvGraphicFramePr>
        <xdr:cNvPr id="2" name="Grafiko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21</xdr:row>
          <xdr:rowOff>171450</xdr:rowOff>
        </xdr:from>
        <xdr:to>
          <xdr:col>13</xdr:col>
          <xdr:colOff>447675</xdr:colOff>
          <xdr:row>23</xdr:row>
          <xdr:rowOff>104775</xdr:rowOff>
        </xdr:to>
        <xdr:sp macro="" textlink="">
          <xdr:nvSpPr>
            <xdr:cNvPr id="33813" name="CommandButton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19050</xdr:rowOff>
        </xdr:from>
        <xdr:to>
          <xdr:col>12</xdr:col>
          <xdr:colOff>114300</xdr:colOff>
          <xdr:row>28</xdr:row>
          <xdr:rowOff>57150</xdr:rowOff>
        </xdr:to>
        <xdr:sp macro="" textlink="">
          <xdr:nvSpPr>
            <xdr:cNvPr id="33815" name="OptionButton1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161925</xdr:rowOff>
        </xdr:from>
        <xdr:to>
          <xdr:col>12</xdr:col>
          <xdr:colOff>114300</xdr:colOff>
          <xdr:row>30</xdr:row>
          <xdr:rowOff>9525</xdr:rowOff>
        </xdr:to>
        <xdr:sp macro="" textlink="">
          <xdr:nvSpPr>
            <xdr:cNvPr id="33816" name="OptionButton2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20</xdr:row>
          <xdr:rowOff>66675</xdr:rowOff>
        </xdr:from>
        <xdr:to>
          <xdr:col>13</xdr:col>
          <xdr:colOff>447675</xdr:colOff>
          <xdr:row>22</xdr:row>
          <xdr:rowOff>0</xdr:rowOff>
        </xdr:to>
        <xdr:sp macro="" textlink="">
          <xdr:nvSpPr>
            <xdr:cNvPr id="33820" name="CommandButton2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18</xdr:row>
          <xdr:rowOff>161925</xdr:rowOff>
        </xdr:from>
        <xdr:to>
          <xdr:col>13</xdr:col>
          <xdr:colOff>447675</xdr:colOff>
          <xdr:row>20</xdr:row>
          <xdr:rowOff>95250</xdr:rowOff>
        </xdr:to>
        <xdr:sp macro="" textlink="">
          <xdr:nvSpPr>
            <xdr:cNvPr id="33822" name="CommandButton3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17</xdr:row>
          <xdr:rowOff>66675</xdr:rowOff>
        </xdr:from>
        <xdr:to>
          <xdr:col>13</xdr:col>
          <xdr:colOff>447675</xdr:colOff>
          <xdr:row>19</xdr:row>
          <xdr:rowOff>0</xdr:rowOff>
        </xdr:to>
        <xdr:sp macro="" textlink="">
          <xdr:nvSpPr>
            <xdr:cNvPr id="33826" name="CommandButton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pageSetUpPr fitToPage="1"/>
  </sheetPr>
  <dimension ref="A1:T112"/>
  <sheetViews>
    <sheetView showGridLines="0" tabSelected="1" zoomScaleNormal="100" zoomScaleSheetLayoutView="100" workbookViewId="0">
      <selection activeCell="D28" sqref="D28:E28"/>
    </sheetView>
  </sheetViews>
  <sheetFormatPr defaultRowHeight="15" x14ac:dyDescent="0.25"/>
  <cols>
    <col min="1" max="1" width="6.7109375" customWidth="1"/>
    <col min="2" max="2" width="10.7109375" customWidth="1"/>
    <col min="3" max="3" width="10.85546875" customWidth="1"/>
    <col min="4" max="4" width="11.140625" customWidth="1"/>
    <col min="5" max="5" width="9.7109375" customWidth="1"/>
    <col min="6" max="6" width="18.42578125" customWidth="1"/>
    <col min="7" max="8" width="10.140625" customWidth="1"/>
    <col min="9" max="9" width="11.28515625" customWidth="1"/>
    <col min="10" max="10" width="10.140625" customWidth="1"/>
    <col min="11" max="11" width="11.140625" customWidth="1"/>
    <col min="12" max="12" width="8" customWidth="1"/>
    <col min="13" max="13" width="6.85546875" customWidth="1"/>
  </cols>
  <sheetData>
    <row r="1" spans="1:20" ht="15.75" thickBot="1" x14ac:dyDescent="0.3">
      <c r="A1" s="35"/>
      <c r="B1" s="165" t="s">
        <v>117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34"/>
    </row>
    <row r="2" spans="1:20" x14ac:dyDescent="0.25">
      <c r="A2" s="51"/>
      <c r="B2" s="4"/>
      <c r="C2" s="4"/>
      <c r="D2" s="4"/>
      <c r="E2" s="4"/>
      <c r="F2" s="54"/>
      <c r="I2" s="55"/>
      <c r="J2" s="55"/>
      <c r="K2" s="88"/>
      <c r="L2" s="88"/>
      <c r="N2" s="92"/>
      <c r="S2" s="4"/>
      <c r="T2" s="4"/>
    </row>
    <row r="3" spans="1:20" x14ac:dyDescent="0.25">
      <c r="A3" s="51"/>
      <c r="B3" s="101" t="s">
        <v>111</v>
      </c>
      <c r="C3" s="4"/>
      <c r="D3" s="4"/>
      <c r="E3" s="4"/>
      <c r="F3" s="4"/>
      <c r="I3" s="85"/>
      <c r="J3" s="4"/>
      <c r="K3" s="102"/>
      <c r="L3" s="88"/>
      <c r="M3" s="105"/>
      <c r="N3" s="92"/>
      <c r="P3" s="58"/>
      <c r="Q3" s="58"/>
      <c r="R3" s="58"/>
      <c r="S3" s="57"/>
      <c r="T3" s="4"/>
    </row>
    <row r="4" spans="1:20" x14ac:dyDescent="0.25">
      <c r="A4" s="51"/>
      <c r="B4" s="85" t="s">
        <v>120</v>
      </c>
      <c r="C4" s="83"/>
      <c r="D4" s="84"/>
      <c r="E4" s="4"/>
      <c r="F4" s="4"/>
      <c r="I4" s="4"/>
      <c r="J4" s="4"/>
      <c r="K4" s="88"/>
      <c r="L4" s="88"/>
      <c r="M4" s="105"/>
      <c r="N4" s="92"/>
      <c r="O4" s="58"/>
      <c r="P4" s="58"/>
      <c r="Q4" s="58"/>
      <c r="R4" s="58"/>
      <c r="S4" s="57"/>
      <c r="T4" s="4"/>
    </row>
    <row r="5" spans="1:20" x14ac:dyDescent="0.25">
      <c r="A5" s="51"/>
      <c r="B5" s="49"/>
      <c r="C5" s="83"/>
      <c r="D5" s="84"/>
      <c r="E5" s="4"/>
      <c r="F5" s="4"/>
      <c r="H5" s="4"/>
      <c r="I5" s="4"/>
      <c r="J5" s="4"/>
      <c r="K5" s="88"/>
      <c r="L5" s="88"/>
      <c r="M5" s="105"/>
      <c r="N5" s="92"/>
      <c r="O5" s="58"/>
      <c r="P5" s="58"/>
      <c r="Q5" s="58"/>
      <c r="R5" s="58"/>
      <c r="S5" s="57"/>
      <c r="T5" s="4"/>
    </row>
    <row r="6" spans="1:20" x14ac:dyDescent="0.25">
      <c r="A6" s="50"/>
      <c r="B6" s="49" t="s">
        <v>108</v>
      </c>
      <c r="C6" s="49"/>
      <c r="D6" s="161" t="s">
        <v>164</v>
      </c>
      <c r="E6" s="52"/>
      <c r="F6" s="4"/>
      <c r="G6" s="141" t="s">
        <v>135</v>
      </c>
      <c r="I6" s="78" t="s">
        <v>109</v>
      </c>
      <c r="J6" s="55"/>
      <c r="K6" s="55"/>
      <c r="L6" s="55"/>
      <c r="M6" s="82"/>
      <c r="N6" s="92"/>
    </row>
    <row r="7" spans="1:20" x14ac:dyDescent="0.25">
      <c r="A7" s="106"/>
      <c r="B7" s="61" t="s">
        <v>116</v>
      </c>
      <c r="C7" s="63"/>
      <c r="D7" s="117" t="s">
        <v>137</v>
      </c>
      <c r="E7" s="122"/>
      <c r="F7" s="162" t="s">
        <v>148</v>
      </c>
      <c r="G7" s="141" t="s">
        <v>136</v>
      </c>
      <c r="I7" s="64" t="s">
        <v>84</v>
      </c>
      <c r="J7" s="64"/>
      <c r="K7" s="164" t="s">
        <v>83</v>
      </c>
      <c r="L7" s="164"/>
      <c r="M7" s="82"/>
      <c r="N7" s="92"/>
    </row>
    <row r="8" spans="1:20" x14ac:dyDescent="0.25">
      <c r="A8" s="106"/>
      <c r="B8" s="61" t="s">
        <v>138</v>
      </c>
      <c r="C8" s="62"/>
      <c r="D8" s="116" t="s">
        <v>142</v>
      </c>
      <c r="E8" s="123"/>
      <c r="F8" s="162" t="s">
        <v>149</v>
      </c>
      <c r="G8" s="145"/>
      <c r="I8" s="63" t="s">
        <v>85</v>
      </c>
      <c r="J8" s="64"/>
      <c r="K8" s="164" t="s">
        <v>81</v>
      </c>
      <c r="L8" s="164"/>
      <c r="M8" s="82"/>
      <c r="N8" s="92"/>
    </row>
    <row r="9" spans="1:20" x14ac:dyDescent="0.25">
      <c r="A9" s="106"/>
      <c r="B9" s="61" t="s">
        <v>139</v>
      </c>
      <c r="C9" s="63"/>
      <c r="D9" s="116" t="s">
        <v>143</v>
      </c>
      <c r="E9" s="123"/>
      <c r="F9" s="162" t="s">
        <v>150</v>
      </c>
      <c r="G9" s="145"/>
      <c r="I9" s="63" t="s">
        <v>86</v>
      </c>
      <c r="J9" s="64"/>
      <c r="K9" s="164">
        <v>3</v>
      </c>
      <c r="L9" s="164"/>
      <c r="M9" s="59" t="s">
        <v>90</v>
      </c>
      <c r="N9" s="92"/>
    </row>
    <row r="10" spans="1:20" x14ac:dyDescent="0.25">
      <c r="A10" s="106"/>
      <c r="B10" s="61" t="s">
        <v>140</v>
      </c>
      <c r="C10" s="63"/>
      <c r="D10" s="116" t="s">
        <v>144</v>
      </c>
      <c r="E10" s="123"/>
      <c r="F10" s="162" t="s">
        <v>151</v>
      </c>
      <c r="G10" s="145"/>
      <c r="I10" s="64" t="s">
        <v>87</v>
      </c>
      <c r="J10" s="65"/>
      <c r="K10" s="164">
        <v>2000</v>
      </c>
      <c r="L10" s="164"/>
      <c r="M10" s="60" t="s">
        <v>91</v>
      </c>
      <c r="N10" s="92"/>
    </row>
    <row r="11" spans="1:20" x14ac:dyDescent="0.25">
      <c r="A11" s="106"/>
      <c r="B11" s="61" t="s">
        <v>95</v>
      </c>
      <c r="C11" s="63"/>
      <c r="D11" s="116">
        <v>123456</v>
      </c>
      <c r="E11" s="123"/>
      <c r="F11" s="162" t="s">
        <v>152</v>
      </c>
      <c r="G11" s="145"/>
      <c r="I11" s="64" t="s">
        <v>88</v>
      </c>
      <c r="J11" s="65"/>
      <c r="K11" s="164">
        <v>2.1</v>
      </c>
      <c r="L11" s="164"/>
      <c r="M11" s="60" t="s">
        <v>91</v>
      </c>
      <c r="N11" s="92"/>
    </row>
    <row r="12" spans="1:20" x14ac:dyDescent="0.25">
      <c r="A12" s="106"/>
      <c r="B12" s="61" t="s">
        <v>96</v>
      </c>
      <c r="C12" s="63"/>
      <c r="D12" s="116">
        <v>4</v>
      </c>
      <c r="E12" s="123" t="s">
        <v>141</v>
      </c>
      <c r="F12" s="162" t="s">
        <v>153</v>
      </c>
      <c r="G12" s="145"/>
      <c r="I12" s="64" t="s">
        <v>89</v>
      </c>
      <c r="J12" s="65"/>
      <c r="K12" s="164" t="s">
        <v>75</v>
      </c>
      <c r="L12" s="164"/>
      <c r="M12" s="60"/>
      <c r="N12" s="92"/>
    </row>
    <row r="13" spans="1:20" x14ac:dyDescent="0.25">
      <c r="A13" s="106"/>
      <c r="B13" s="61" t="s">
        <v>97</v>
      </c>
      <c r="C13" s="63"/>
      <c r="D13" s="116">
        <v>29250</v>
      </c>
      <c r="E13" s="123" t="s">
        <v>104</v>
      </c>
      <c r="F13" s="162" t="s">
        <v>154</v>
      </c>
      <c r="G13" s="145"/>
      <c r="I13" s="64" t="s">
        <v>93</v>
      </c>
      <c r="J13" s="65"/>
      <c r="K13" s="164">
        <v>2.16E-5</v>
      </c>
      <c r="L13" s="164"/>
      <c r="M13" s="60" t="s">
        <v>107</v>
      </c>
      <c r="N13" s="92"/>
    </row>
    <row r="14" spans="1:20" x14ac:dyDescent="0.25">
      <c r="A14" s="50"/>
      <c r="B14" s="103" t="s">
        <v>110</v>
      </c>
      <c r="C14" s="104"/>
      <c r="D14" s="104"/>
      <c r="E14" s="54"/>
      <c r="F14" s="163"/>
      <c r="G14" s="146"/>
      <c r="I14" s="64" t="s">
        <v>92</v>
      </c>
      <c r="J14" s="65"/>
      <c r="K14" s="164">
        <v>1965000</v>
      </c>
      <c r="L14" s="164"/>
      <c r="M14" s="60" t="s">
        <v>94</v>
      </c>
      <c r="N14" s="92"/>
    </row>
    <row r="15" spans="1:20" x14ac:dyDescent="0.25">
      <c r="A15" s="50"/>
      <c r="B15" s="79" t="s">
        <v>112</v>
      </c>
      <c r="C15" s="79"/>
      <c r="D15" s="86" t="s">
        <v>147</v>
      </c>
      <c r="E15" s="80"/>
      <c r="F15" s="162" t="s">
        <v>155</v>
      </c>
      <c r="G15" s="147"/>
      <c r="N15" s="92"/>
    </row>
    <row r="16" spans="1:20" x14ac:dyDescent="0.25">
      <c r="A16" s="50"/>
      <c r="B16" s="79" t="s">
        <v>113</v>
      </c>
      <c r="C16" s="79"/>
      <c r="D16" s="87">
        <v>0.45833333333333331</v>
      </c>
      <c r="E16" s="107"/>
      <c r="F16" s="162" t="s">
        <v>156</v>
      </c>
      <c r="G16" s="148"/>
      <c r="N16" s="92"/>
    </row>
    <row r="17" spans="1:20" x14ac:dyDescent="0.25">
      <c r="A17" s="50"/>
      <c r="B17" s="79" t="s">
        <v>82</v>
      </c>
      <c r="C17" s="79"/>
      <c r="D17" s="142">
        <v>245</v>
      </c>
      <c r="E17" s="80"/>
      <c r="F17" s="162" t="e" cm="1">
        <f t="array" ref="F17">coun</f>
        <v>#NAME?</v>
      </c>
      <c r="G17" s="148"/>
      <c r="I17" s="143"/>
      <c r="M17" s="105"/>
      <c r="N17" s="92"/>
      <c r="S17" s="4"/>
      <c r="T17" s="4"/>
    </row>
    <row r="18" spans="1:20" x14ac:dyDescent="0.25">
      <c r="A18" s="50"/>
      <c r="B18" s="79" t="s">
        <v>101</v>
      </c>
      <c r="C18" s="79"/>
      <c r="D18" s="144">
        <v>19.639446970605007</v>
      </c>
      <c r="E18" s="81" t="s">
        <v>106</v>
      </c>
      <c r="F18" s="162" t="s">
        <v>157</v>
      </c>
      <c r="G18" s="182" cm="1">
        <f t="array" ref="G18">(D18-FindLastValue($D$7,"MT"))/FindLastValue($D$7,"MT")</f>
        <v>2.0126005410717354E-3</v>
      </c>
      <c r="M18" s="105"/>
      <c r="N18" s="92"/>
      <c r="S18" s="4"/>
      <c r="T18" s="4"/>
    </row>
    <row r="19" spans="1:20" x14ac:dyDescent="0.25">
      <c r="A19" s="50"/>
      <c r="B19" s="79" t="s">
        <v>102</v>
      </c>
      <c r="C19" s="79"/>
      <c r="D19" s="144">
        <v>14.432886470846247</v>
      </c>
      <c r="E19" s="81" t="s">
        <v>103</v>
      </c>
      <c r="F19" s="162" t="s">
        <v>158</v>
      </c>
      <c r="G19" s="182" cm="1">
        <f t="array" ref="G19">(D19-FindLastValue($D$7,"MP"))/FindLastValue($D$7,"MP")</f>
        <v>3.0920462203303373E-2</v>
      </c>
      <c r="H19" s="104"/>
      <c r="I19" s="104"/>
      <c r="J19" s="104"/>
      <c r="K19" s="43"/>
      <c r="L19" s="89"/>
      <c r="M19" s="105"/>
      <c r="N19" s="92"/>
      <c r="S19" s="4"/>
      <c r="T19" s="4"/>
    </row>
    <row r="20" spans="1:20" x14ac:dyDescent="0.25">
      <c r="A20" s="50"/>
      <c r="B20" s="79" t="s">
        <v>98</v>
      </c>
      <c r="C20" s="79"/>
      <c r="D20" s="144">
        <v>19.820932067868196</v>
      </c>
      <c r="E20" s="81" t="s">
        <v>106</v>
      </c>
      <c r="F20" s="162" t="s">
        <v>159</v>
      </c>
      <c r="G20" s="182" cm="1">
        <f t="array" ref="G20">(D20-FindLastValue($D$7,"PT"))/FindLastValue($D$7,"PT")</f>
        <v>-0.13822034487529586</v>
      </c>
      <c r="H20" s="104"/>
      <c r="I20" s="104"/>
      <c r="J20" s="104"/>
      <c r="K20" s="43"/>
      <c r="L20" s="89"/>
      <c r="M20" s="105"/>
      <c r="N20" s="92"/>
      <c r="S20" s="4"/>
      <c r="T20" s="4"/>
    </row>
    <row r="21" spans="1:20" x14ac:dyDescent="0.25">
      <c r="A21" s="50"/>
      <c r="B21" s="79" t="s">
        <v>99</v>
      </c>
      <c r="C21" s="79"/>
      <c r="D21" s="144">
        <v>14.71630221837987</v>
      </c>
      <c r="E21" s="81" t="s">
        <v>103</v>
      </c>
      <c r="F21" s="162" t="s">
        <v>160</v>
      </c>
      <c r="G21" s="182" cm="1">
        <f t="array" ref="G21">(D21-FindLastValue($D$7,"PP"))/FindLastValue($D$7,"PP")</f>
        <v>9.0096460620731081E-2</v>
      </c>
      <c r="H21" s="4"/>
      <c r="I21" s="4"/>
      <c r="J21" s="4"/>
      <c r="K21" s="43"/>
      <c r="L21" s="89"/>
      <c r="M21" s="105"/>
      <c r="N21" s="92"/>
      <c r="S21" s="4"/>
      <c r="T21" s="4"/>
    </row>
    <row r="22" spans="1:20" x14ac:dyDescent="0.25">
      <c r="A22" s="50"/>
      <c r="B22" s="79" t="s">
        <v>76</v>
      </c>
      <c r="C22" s="79"/>
      <c r="D22" s="144">
        <v>28453.408157971979</v>
      </c>
      <c r="E22" s="81" t="s">
        <v>104</v>
      </c>
      <c r="F22" s="162" t="s">
        <v>161</v>
      </c>
      <c r="G22" s="182">
        <f>(D22-D34)/D34</f>
        <v>2.0705029265864826E-2</v>
      </c>
      <c r="H22" s="4"/>
      <c r="I22" s="4"/>
      <c r="J22" s="4"/>
      <c r="K22" s="43"/>
      <c r="L22" s="89"/>
      <c r="M22" s="105"/>
      <c r="N22" s="92"/>
    </row>
    <row r="23" spans="1:20" x14ac:dyDescent="0.25">
      <c r="A23" s="50"/>
      <c r="B23" s="79" t="s">
        <v>100</v>
      </c>
      <c r="C23" s="79"/>
      <c r="D23" s="144">
        <v>645.57140776457481</v>
      </c>
      <c r="E23" s="81" t="s">
        <v>105</v>
      </c>
      <c r="F23" s="162" t="s">
        <v>162</v>
      </c>
      <c r="G23" s="182" cm="1">
        <f t="array" ref="G23">(D23-FindLastValue($D$7,"F"))/FindLastValue($D$7,"F")</f>
        <v>-6.8132188237310541E-3</v>
      </c>
      <c r="H23" s="4"/>
      <c r="I23" s="4"/>
      <c r="J23" s="4"/>
      <c r="K23" s="43"/>
      <c r="L23" s="89"/>
      <c r="M23" s="105"/>
      <c r="N23" s="92"/>
    </row>
    <row r="24" spans="1:20" x14ac:dyDescent="0.25">
      <c r="A24" s="50"/>
      <c r="B24" s="79" t="s">
        <v>114</v>
      </c>
      <c r="C24" s="79"/>
      <c r="D24" s="144">
        <v>1.1449454636340867E-2</v>
      </c>
      <c r="E24" s="81" t="s">
        <v>115</v>
      </c>
      <c r="F24" s="162" t="s">
        <v>163</v>
      </c>
      <c r="H24" s="4"/>
      <c r="I24" s="4"/>
      <c r="J24" s="4"/>
      <c r="K24" s="43"/>
      <c r="L24" s="89"/>
      <c r="M24" s="105"/>
      <c r="N24" s="92"/>
      <c r="P24" s="89"/>
    </row>
    <row r="25" spans="1:20" ht="15.75" thickBot="1" x14ac:dyDescent="0.3">
      <c r="A25" s="108"/>
      <c r="B25" s="118"/>
      <c r="C25" s="118"/>
      <c r="D25" s="121"/>
      <c r="E25" s="119"/>
      <c r="F25" s="120"/>
      <c r="G25" s="111"/>
      <c r="H25" s="110"/>
      <c r="I25" s="110"/>
      <c r="J25" s="110"/>
      <c r="K25" s="109"/>
      <c r="L25" s="111"/>
      <c r="M25" s="113"/>
      <c r="N25" s="114"/>
    </row>
    <row r="26" spans="1:20" ht="15.75" thickBot="1" x14ac:dyDescent="0.3">
      <c r="A26" s="35"/>
      <c r="B26" s="165" t="s">
        <v>77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34"/>
    </row>
    <row r="27" spans="1:20" x14ac:dyDescent="0.25">
      <c r="A27" s="37"/>
      <c r="B27" s="38"/>
      <c r="C27" s="39"/>
      <c r="D27" s="39"/>
      <c r="E27" s="172"/>
      <c r="F27" s="173"/>
      <c r="G27" s="173"/>
      <c r="H27" s="40"/>
      <c r="I27" s="41"/>
      <c r="J27" s="42"/>
      <c r="K27" s="29"/>
      <c r="L27" s="29"/>
      <c r="M27" s="29"/>
      <c r="N27" s="30"/>
    </row>
    <row r="28" spans="1:20" x14ac:dyDescent="0.25">
      <c r="A28" s="28"/>
      <c r="B28" s="36" t="s">
        <v>123</v>
      </c>
      <c r="C28" s="49"/>
      <c r="D28" s="169" t="s">
        <v>137</v>
      </c>
      <c r="E28" s="170"/>
      <c r="G28" s="115" t="str">
        <f>D28</f>
        <v>FE-01</v>
      </c>
      <c r="I28" s="10"/>
      <c r="J28" s="20"/>
      <c r="K28" s="4"/>
      <c r="L28" s="4"/>
      <c r="M28" s="4"/>
      <c r="N28" s="30"/>
    </row>
    <row r="29" spans="1:20" x14ac:dyDescent="0.25">
      <c r="A29" s="28"/>
      <c r="F29" s="56"/>
      <c r="G29" s="56"/>
      <c r="H29" s="9"/>
      <c r="I29" s="10"/>
      <c r="J29" s="20"/>
      <c r="K29" s="4"/>
      <c r="L29" s="4"/>
      <c r="M29" s="4"/>
      <c r="N29" s="30"/>
    </row>
    <row r="30" spans="1:20" x14ac:dyDescent="0.25">
      <c r="A30" s="28"/>
      <c r="B30" s="43" t="s">
        <v>79</v>
      </c>
      <c r="C30" s="31"/>
      <c r="D30" s="169">
        <v>10</v>
      </c>
      <c r="E30" s="170"/>
      <c r="F30" s="44" t="s">
        <v>80</v>
      </c>
      <c r="G30" s="77"/>
      <c r="H30" s="9"/>
      <c r="I30" s="10"/>
      <c r="J30" s="20"/>
      <c r="K30" s="4"/>
      <c r="L30" s="4"/>
      <c r="M30" s="4"/>
      <c r="N30" s="30"/>
    </row>
    <row r="31" spans="1:20" x14ac:dyDescent="0.25">
      <c r="A31" s="28"/>
      <c r="B31" s="93"/>
      <c r="C31" s="94"/>
      <c r="D31" s="95"/>
      <c r="E31" s="95"/>
      <c r="F31" s="44"/>
      <c r="G31" s="77"/>
      <c r="H31" s="9"/>
      <c r="I31" s="10"/>
      <c r="J31" s="20"/>
      <c r="K31" s="4"/>
      <c r="L31" s="4"/>
      <c r="M31" s="4"/>
      <c r="N31" s="30"/>
    </row>
    <row r="32" spans="1:20" x14ac:dyDescent="0.25">
      <c r="A32" s="28"/>
      <c r="B32" s="64" t="s">
        <v>121</v>
      </c>
      <c r="C32" s="65"/>
      <c r="D32" s="178" cm="1">
        <f t="array" ref="D32">FindLastValue(D28,"No")</f>
        <v>247</v>
      </c>
      <c r="E32" s="179"/>
      <c r="J32" s="20"/>
      <c r="K32" s="4"/>
      <c r="L32" s="4"/>
      <c r="M32" s="4"/>
      <c r="N32" s="30"/>
    </row>
    <row r="33" spans="1:14" x14ac:dyDescent="0.25">
      <c r="A33" s="28"/>
      <c r="B33" s="96"/>
      <c r="C33" s="96"/>
      <c r="D33" s="96"/>
      <c r="E33" s="93"/>
      <c r="G33" s="90"/>
      <c r="H33" s="79"/>
      <c r="I33" s="91"/>
      <c r="J33" s="20"/>
      <c r="K33" s="4"/>
      <c r="L33" s="4"/>
      <c r="M33" s="4"/>
      <c r="N33" s="30"/>
    </row>
    <row r="34" spans="1:14" x14ac:dyDescent="0.25">
      <c r="A34" s="28"/>
      <c r="B34" s="79" t="s">
        <v>122</v>
      </c>
      <c r="C34" s="79"/>
      <c r="D34" s="180" cm="1">
        <f t="array" ref="D34">FindLastValue(D28,"KF")</f>
        <v>27876.23</v>
      </c>
      <c r="E34" s="181"/>
      <c r="F34" s="99" t="s">
        <v>104</v>
      </c>
      <c r="G34" s="90"/>
      <c r="H34" s="79"/>
      <c r="I34" s="91"/>
      <c r="J34" s="20"/>
      <c r="K34" s="4"/>
      <c r="L34" s="4"/>
      <c r="M34" s="4"/>
      <c r="N34" s="30"/>
    </row>
    <row r="35" spans="1:14" ht="15.75" thickBot="1" x14ac:dyDescent="0.3">
      <c r="A35" s="28"/>
      <c r="B35" s="97"/>
      <c r="C35" s="97"/>
      <c r="D35" s="97"/>
      <c r="E35" s="98"/>
      <c r="F35" s="48"/>
      <c r="G35" s="48"/>
      <c r="H35" s="9"/>
      <c r="I35" s="10"/>
      <c r="J35" s="20"/>
      <c r="K35" s="4"/>
      <c r="L35" s="4"/>
      <c r="M35" s="4"/>
      <c r="N35" s="30"/>
    </row>
    <row r="36" spans="1:14" ht="15" customHeight="1" thickBot="1" x14ac:dyDescent="0.3">
      <c r="A36" s="33"/>
      <c r="B36" s="171" t="s">
        <v>78</v>
      </c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34"/>
    </row>
    <row r="37" spans="1:14" ht="15" customHeight="1" x14ac:dyDescent="0.25">
      <c r="A37" s="124"/>
      <c r="B37" s="125"/>
      <c r="C37" s="126"/>
      <c r="D37" s="127"/>
      <c r="E37" s="128"/>
      <c r="F37" s="127"/>
      <c r="G37" s="125"/>
      <c r="H37" s="129"/>
      <c r="I37" s="129"/>
      <c r="J37" s="127"/>
      <c r="K37" s="4"/>
      <c r="L37" s="4"/>
      <c r="M37" s="4"/>
      <c r="N37" s="30"/>
    </row>
    <row r="38" spans="1:14" ht="15" customHeight="1" x14ac:dyDescent="0.25">
      <c r="A38" s="130"/>
      <c r="B38" s="131" t="str" cm="1">
        <f t="array" aca="1" ref="B38:B39" ca="1">IF(COUNTA(MeterTags)&gt;1, _xlfn.UNIQUE(_xlfn._xlws.FILTER(MeterTags,MeterTags&lt;&gt;"")),"-")</f>
        <v>FE-01</v>
      </c>
      <c r="C38" s="132" cm="1">
        <f t="array" aca="1" ref="C38:C39" ca="1">IF(COUNTA(MeterSerials)&gt;1, _xlfn.UNIQUE(_xlfn._xlws.FILTER(MeterSerials,MeterSerials&lt;&gt;"")),"-")</f>
        <v>123456</v>
      </c>
      <c r="D38" s="133"/>
      <c r="E38" s="174"/>
      <c r="F38" s="175"/>
      <c r="G38" s="176"/>
      <c r="H38" s="177"/>
      <c r="I38" s="177"/>
      <c r="J38" s="177"/>
      <c r="K38" s="4"/>
      <c r="L38" s="4"/>
      <c r="M38" s="4"/>
      <c r="N38" s="30"/>
    </row>
    <row r="39" spans="1:14" x14ac:dyDescent="0.25">
      <c r="A39" s="130"/>
      <c r="B39" s="131" t="str">
        <f ca="1"/>
        <v>FE-02</v>
      </c>
      <c r="C39" s="132">
        <f ca="1"/>
        <v>123821</v>
      </c>
      <c r="D39" s="132"/>
      <c r="E39" s="132"/>
      <c r="F39" s="132"/>
      <c r="G39" s="134"/>
      <c r="H39" s="135"/>
      <c r="I39" s="134"/>
      <c r="J39" s="134"/>
      <c r="K39" s="4"/>
      <c r="L39" s="4"/>
      <c r="M39" s="4"/>
      <c r="N39" s="30"/>
    </row>
    <row r="40" spans="1:14" x14ac:dyDescent="0.25">
      <c r="A40" s="136"/>
      <c r="B40" s="131"/>
      <c r="C40" s="132"/>
      <c r="D40" s="132"/>
      <c r="E40" s="132"/>
      <c r="F40" s="132"/>
      <c r="G40" s="134"/>
      <c r="H40" s="135"/>
      <c r="I40" s="134"/>
      <c r="J40" s="134"/>
      <c r="K40" s="4"/>
      <c r="L40" s="4"/>
      <c r="M40" s="4"/>
      <c r="N40" s="30"/>
    </row>
    <row r="41" spans="1:14" x14ac:dyDescent="0.25">
      <c r="A41" s="136"/>
      <c r="B41" s="137"/>
      <c r="C41" s="138"/>
      <c r="D41" s="138"/>
      <c r="E41" s="138"/>
      <c r="F41" s="138"/>
      <c r="G41" s="139"/>
      <c r="H41" s="139"/>
      <c r="I41" s="139"/>
      <c r="J41" s="139"/>
      <c r="K41" s="4"/>
      <c r="L41" s="4"/>
      <c r="M41" s="4"/>
      <c r="N41" s="30"/>
    </row>
    <row r="42" spans="1:14" x14ac:dyDescent="0.25">
      <c r="A42" s="136"/>
      <c r="B42" s="137"/>
      <c r="C42" s="138"/>
      <c r="D42" s="138"/>
      <c r="E42" s="138"/>
      <c r="F42" s="138"/>
      <c r="G42" s="139"/>
      <c r="H42" s="139"/>
      <c r="I42" s="139"/>
      <c r="J42" s="139"/>
      <c r="K42" s="4"/>
      <c r="L42" s="4"/>
      <c r="M42" s="4"/>
      <c r="N42" s="30"/>
    </row>
    <row r="43" spans="1:14" x14ac:dyDescent="0.25">
      <c r="A43" s="136"/>
      <c r="B43" s="139"/>
      <c r="C43" s="140"/>
      <c r="D43" s="140"/>
      <c r="E43" s="140"/>
      <c r="F43" s="140"/>
      <c r="G43" s="139"/>
      <c r="H43" s="139"/>
      <c r="I43" s="139"/>
      <c r="J43" s="139"/>
      <c r="K43" s="4"/>
      <c r="L43" s="4"/>
      <c r="M43" s="4"/>
      <c r="N43" s="30"/>
    </row>
    <row r="44" spans="1:14" x14ac:dyDescent="0.25">
      <c r="A44" s="136"/>
      <c r="B44" s="139"/>
      <c r="C44" s="140"/>
      <c r="D44" s="140"/>
      <c r="E44" s="140"/>
      <c r="F44" s="140"/>
      <c r="G44" s="139"/>
      <c r="H44" s="139"/>
      <c r="I44" s="139"/>
      <c r="J44" s="139"/>
      <c r="K44" s="4"/>
      <c r="L44" s="4"/>
      <c r="M44" s="4"/>
      <c r="N44" s="30"/>
    </row>
    <row r="45" spans="1:14" x14ac:dyDescent="0.25">
      <c r="A45" s="136"/>
      <c r="B45" s="139"/>
      <c r="C45" s="140"/>
      <c r="D45" s="140"/>
      <c r="E45" s="140"/>
      <c r="F45" s="140"/>
      <c r="G45" s="139"/>
      <c r="H45" s="139"/>
      <c r="I45" s="139"/>
      <c r="J45" s="139"/>
      <c r="K45" s="4"/>
      <c r="L45" s="4"/>
      <c r="M45" s="4"/>
      <c r="N45" s="30"/>
    </row>
    <row r="46" spans="1:14" x14ac:dyDescent="0.25">
      <c r="A46" s="136"/>
      <c r="B46" s="139"/>
      <c r="C46" s="140"/>
      <c r="D46" s="140"/>
      <c r="E46" s="140"/>
      <c r="F46" s="140"/>
      <c r="G46" s="139"/>
      <c r="H46" s="139"/>
      <c r="I46" s="139"/>
      <c r="J46" s="139"/>
      <c r="K46" s="4"/>
      <c r="L46" s="4"/>
      <c r="M46" s="4"/>
      <c r="N46" s="30"/>
    </row>
    <row r="47" spans="1:14" x14ac:dyDescent="0.25">
      <c r="A47" s="136"/>
      <c r="B47" s="139"/>
      <c r="C47" s="140"/>
      <c r="D47" s="140"/>
      <c r="E47" s="140"/>
      <c r="F47" s="140"/>
      <c r="G47" s="139"/>
      <c r="H47" s="139"/>
      <c r="I47" s="139"/>
      <c r="J47" s="139"/>
      <c r="K47" s="4"/>
      <c r="L47" s="4"/>
      <c r="M47" s="4"/>
      <c r="N47" s="30"/>
    </row>
    <row r="48" spans="1:14" x14ac:dyDescent="0.25">
      <c r="A48" s="136"/>
      <c r="B48" s="139"/>
      <c r="C48" s="140"/>
      <c r="D48" s="140"/>
      <c r="E48" s="140"/>
      <c r="F48" s="140"/>
      <c r="G48" s="139"/>
      <c r="H48" s="139"/>
      <c r="I48" s="139"/>
      <c r="J48" s="139"/>
      <c r="K48" s="4"/>
      <c r="L48" s="4"/>
      <c r="M48" s="4"/>
      <c r="N48" s="30"/>
    </row>
    <row r="49" spans="1:14" x14ac:dyDescent="0.25">
      <c r="A49" s="136"/>
      <c r="B49" s="139"/>
      <c r="C49" s="140"/>
      <c r="D49" s="140"/>
      <c r="E49" s="140"/>
      <c r="F49" s="140"/>
      <c r="G49" s="139"/>
      <c r="H49" s="139"/>
      <c r="I49" s="139"/>
      <c r="J49" s="139"/>
      <c r="K49" s="4"/>
      <c r="L49" s="4"/>
      <c r="M49" s="4"/>
      <c r="N49" s="30"/>
    </row>
    <row r="50" spans="1:14" x14ac:dyDescent="0.25">
      <c r="A50" s="136"/>
      <c r="B50" s="139"/>
      <c r="C50" s="140"/>
      <c r="D50" s="140"/>
      <c r="E50" s="140"/>
      <c r="F50" s="140"/>
      <c r="G50" s="139"/>
      <c r="H50" s="139"/>
      <c r="I50" s="139"/>
      <c r="J50" s="139"/>
      <c r="K50" s="4"/>
      <c r="L50" s="4"/>
      <c r="M50" s="4"/>
      <c r="N50" s="30"/>
    </row>
    <row r="51" spans="1:14" x14ac:dyDescent="0.25">
      <c r="A51" s="136"/>
      <c r="B51" s="139"/>
      <c r="C51" s="140"/>
      <c r="D51" s="140"/>
      <c r="E51" s="140"/>
      <c r="F51" s="140"/>
      <c r="G51" s="139"/>
      <c r="H51" s="139"/>
      <c r="I51" s="139"/>
      <c r="J51" s="139"/>
      <c r="K51" s="4"/>
      <c r="L51" s="4"/>
      <c r="M51" s="4"/>
      <c r="N51" s="30"/>
    </row>
    <row r="52" spans="1:14" x14ac:dyDescent="0.25">
      <c r="A52" s="136"/>
      <c r="B52" s="139"/>
      <c r="C52" s="140"/>
      <c r="D52" s="140"/>
      <c r="E52" s="140"/>
      <c r="F52" s="140"/>
      <c r="G52" s="139"/>
      <c r="H52" s="139"/>
      <c r="I52" s="139"/>
      <c r="J52" s="139"/>
      <c r="K52" s="4"/>
      <c r="L52" s="4"/>
      <c r="M52" s="4"/>
      <c r="N52" s="30"/>
    </row>
    <row r="53" spans="1:14" x14ac:dyDescent="0.25">
      <c r="A53" s="136"/>
      <c r="B53" s="139"/>
      <c r="C53" s="140"/>
      <c r="D53" s="140"/>
      <c r="E53" s="140"/>
      <c r="F53" s="140"/>
      <c r="G53" s="139"/>
      <c r="H53" s="139"/>
      <c r="I53" s="139"/>
      <c r="J53" s="139"/>
      <c r="K53" s="4"/>
      <c r="L53" s="4"/>
      <c r="M53" s="4"/>
      <c r="N53" s="30"/>
    </row>
    <row r="54" spans="1:14" x14ac:dyDescent="0.25">
      <c r="A54" s="136"/>
      <c r="B54" s="139"/>
      <c r="C54" s="140"/>
      <c r="D54" s="140"/>
      <c r="E54" s="140"/>
      <c r="F54" s="140"/>
      <c r="G54" s="139"/>
      <c r="H54" s="139"/>
      <c r="I54" s="139"/>
      <c r="J54" s="139"/>
      <c r="K54" s="4"/>
      <c r="L54" s="4"/>
      <c r="M54" s="4"/>
      <c r="N54" s="30"/>
    </row>
    <row r="55" spans="1:14" x14ac:dyDescent="0.25">
      <c r="A55" s="32"/>
      <c r="B55" s="18"/>
      <c r="C55" s="23"/>
      <c r="D55" s="23"/>
      <c r="E55" s="23"/>
      <c r="F55" s="23"/>
      <c r="G55" s="18"/>
      <c r="H55" s="18"/>
      <c r="I55" s="18"/>
      <c r="J55" s="18"/>
      <c r="K55" s="4"/>
      <c r="L55" s="4"/>
      <c r="M55" s="4"/>
      <c r="N55" s="30"/>
    </row>
    <row r="56" spans="1:14" x14ac:dyDescent="0.25">
      <c r="A56" s="32"/>
      <c r="B56" s="18"/>
      <c r="C56" s="23"/>
      <c r="D56" s="23"/>
      <c r="E56" s="23"/>
      <c r="F56" s="23"/>
      <c r="G56" s="18"/>
      <c r="H56" s="18"/>
      <c r="I56" s="18"/>
      <c r="J56" s="18"/>
      <c r="K56" s="4"/>
      <c r="L56" s="4"/>
      <c r="M56" s="4"/>
      <c r="N56" s="30"/>
    </row>
    <row r="57" spans="1:14" x14ac:dyDescent="0.25">
      <c r="A57" s="32"/>
      <c r="B57" s="18"/>
      <c r="C57" s="23"/>
      <c r="D57" s="23"/>
      <c r="E57" s="23"/>
      <c r="F57" s="23"/>
      <c r="G57" s="18"/>
      <c r="H57" s="18"/>
      <c r="I57" s="18"/>
      <c r="J57" s="18"/>
      <c r="K57" s="4"/>
      <c r="L57" s="4"/>
      <c r="M57" s="4"/>
      <c r="N57" s="30"/>
    </row>
    <row r="58" spans="1:14" ht="15" customHeight="1" x14ac:dyDescent="0.25">
      <c r="A58" s="32"/>
      <c r="B58" s="18"/>
      <c r="C58" s="23"/>
      <c r="D58" s="23"/>
      <c r="E58" s="23"/>
      <c r="F58" s="23"/>
      <c r="G58" s="18"/>
      <c r="H58" s="18"/>
      <c r="I58" s="18"/>
      <c r="J58" s="18"/>
      <c r="K58" s="4"/>
      <c r="L58" s="4"/>
      <c r="M58" s="4"/>
      <c r="N58" s="30"/>
    </row>
    <row r="59" spans="1:14" x14ac:dyDescent="0.25">
      <c r="A59" s="32"/>
      <c r="B59" s="18"/>
      <c r="C59" s="23"/>
      <c r="D59" s="23"/>
      <c r="E59" s="23"/>
      <c r="F59" s="23"/>
      <c r="G59" s="18"/>
      <c r="H59" s="18"/>
      <c r="I59" s="18"/>
      <c r="J59" s="18"/>
      <c r="K59" s="4"/>
      <c r="L59" s="4"/>
      <c r="M59" s="4"/>
      <c r="N59" s="30"/>
    </row>
    <row r="60" spans="1:14" x14ac:dyDescent="0.25">
      <c r="A60" s="66"/>
      <c r="B60" s="18"/>
      <c r="C60" s="23"/>
      <c r="D60" s="23"/>
      <c r="E60" s="23"/>
      <c r="F60" s="23"/>
      <c r="G60" s="18"/>
      <c r="H60" s="18"/>
      <c r="I60" s="18"/>
      <c r="J60" s="18"/>
      <c r="K60" s="4"/>
      <c r="L60" s="4"/>
      <c r="M60" s="4"/>
      <c r="N60" s="67"/>
    </row>
    <row r="61" spans="1:14" x14ac:dyDescent="0.25">
      <c r="A61" s="66"/>
      <c r="B61" s="18"/>
      <c r="C61" s="23"/>
      <c r="D61" s="23"/>
      <c r="E61" s="23"/>
      <c r="F61" s="23"/>
      <c r="G61" s="18"/>
      <c r="H61" s="18"/>
      <c r="I61" s="18"/>
      <c r="J61" s="18"/>
      <c r="K61" s="4"/>
      <c r="L61" s="4"/>
      <c r="M61" s="4"/>
      <c r="N61" s="67"/>
    </row>
    <row r="62" spans="1:14" x14ac:dyDescent="0.25">
      <c r="A62" s="68"/>
      <c r="B62" s="12"/>
      <c r="C62" s="12"/>
      <c r="D62" s="25"/>
      <c r="E62" s="12"/>
      <c r="F62" s="12"/>
      <c r="G62" s="12"/>
      <c r="H62" s="12"/>
      <c r="I62" s="12"/>
      <c r="J62" s="12"/>
      <c r="K62" s="4"/>
      <c r="L62" s="4"/>
      <c r="M62" s="4"/>
      <c r="N62" s="67"/>
    </row>
    <row r="63" spans="1:14" x14ac:dyDescent="0.25">
      <c r="A63" s="69"/>
      <c r="B63" s="12"/>
      <c r="C63" s="12"/>
      <c r="D63" s="12"/>
      <c r="E63" s="12"/>
      <c r="F63" s="12"/>
      <c r="G63" s="12"/>
      <c r="H63" s="12"/>
      <c r="I63" s="12"/>
      <c r="J63" s="12"/>
      <c r="K63" s="4"/>
      <c r="L63" s="4"/>
      <c r="M63" s="4"/>
      <c r="N63" s="67"/>
    </row>
    <row r="64" spans="1:14" x14ac:dyDescent="0.25">
      <c r="A64" s="166" t="s">
        <v>74</v>
      </c>
      <c r="B64" s="167"/>
      <c r="C64" s="167"/>
      <c r="D64" s="167"/>
      <c r="E64" s="168" t="s">
        <v>42</v>
      </c>
      <c r="F64" s="167"/>
      <c r="G64" s="167"/>
      <c r="H64" s="168" t="s">
        <v>73</v>
      </c>
      <c r="I64" s="167"/>
      <c r="J64" s="167"/>
      <c r="K64" s="4"/>
      <c r="L64" s="4"/>
      <c r="M64" s="4"/>
      <c r="N64" s="67"/>
    </row>
    <row r="65" spans="1:14" x14ac:dyDescent="0.25">
      <c r="A65" s="70"/>
      <c r="B65" s="7"/>
      <c r="C65" s="19"/>
      <c r="D65" s="6"/>
      <c r="E65" s="20"/>
      <c r="F65" s="15"/>
      <c r="G65" s="7"/>
      <c r="H65" s="5"/>
      <c r="I65" s="11"/>
      <c r="J65" s="20"/>
      <c r="K65" s="4"/>
      <c r="L65" s="4"/>
      <c r="M65" s="4"/>
      <c r="N65" s="67"/>
    </row>
    <row r="66" spans="1:14" x14ac:dyDescent="0.25">
      <c r="A66" s="70"/>
      <c r="B66" s="7"/>
      <c r="C66" s="14"/>
      <c r="D66" s="6"/>
      <c r="E66" s="20"/>
      <c r="F66" s="15"/>
      <c r="G66" s="7"/>
      <c r="H66" s="5"/>
      <c r="I66" s="16"/>
      <c r="J66" s="6"/>
      <c r="K66" s="4"/>
      <c r="L66" s="4"/>
      <c r="M66" s="4"/>
      <c r="N66" s="67"/>
    </row>
    <row r="67" spans="1:14" x14ac:dyDescent="0.25">
      <c r="A67" s="70"/>
      <c r="B67" s="7"/>
      <c r="C67" s="8"/>
      <c r="D67" s="6"/>
      <c r="E67" s="20"/>
      <c r="F67" s="6"/>
      <c r="G67" s="7"/>
      <c r="H67" s="5"/>
      <c r="I67" s="5"/>
      <c r="J67" s="6"/>
      <c r="K67" s="4"/>
      <c r="L67" s="4"/>
      <c r="M67" s="4"/>
      <c r="N67" s="67"/>
    </row>
    <row r="68" spans="1:14" x14ac:dyDescent="0.25">
      <c r="A68" s="71"/>
      <c r="B68" s="53"/>
      <c r="C68" s="53"/>
      <c r="D68" s="53"/>
      <c r="E68" s="53"/>
      <c r="F68" s="53"/>
      <c r="G68" s="53"/>
      <c r="H68" s="53"/>
      <c r="I68" s="53"/>
      <c r="J68" s="53"/>
      <c r="K68" s="4"/>
      <c r="L68" s="4"/>
      <c r="M68" s="4"/>
      <c r="N68" s="67"/>
    </row>
    <row r="69" spans="1:14" x14ac:dyDescent="0.25">
      <c r="A69" s="71"/>
      <c r="B69" s="53"/>
      <c r="C69" s="53"/>
      <c r="D69" s="53"/>
      <c r="E69" s="53"/>
      <c r="F69" s="53"/>
      <c r="G69" s="53"/>
      <c r="H69" s="22"/>
      <c r="I69" s="53"/>
      <c r="J69" s="53"/>
      <c r="K69" s="4"/>
      <c r="L69" s="4"/>
      <c r="M69" s="4"/>
      <c r="N69" s="67"/>
    </row>
    <row r="70" spans="1:14" x14ac:dyDescent="0.25">
      <c r="A70" s="66"/>
      <c r="B70" s="53"/>
      <c r="C70" s="53"/>
      <c r="D70" s="53"/>
      <c r="E70" s="53"/>
      <c r="F70" s="53"/>
      <c r="G70" s="53"/>
      <c r="H70" s="22"/>
      <c r="I70" s="53"/>
      <c r="J70" s="53"/>
      <c r="K70" s="4"/>
      <c r="L70" s="4"/>
      <c r="M70" s="4"/>
      <c r="N70" s="67"/>
    </row>
    <row r="71" spans="1:14" x14ac:dyDescent="0.25">
      <c r="A71" s="66"/>
      <c r="B71" s="18"/>
      <c r="C71" s="23"/>
      <c r="D71" s="23"/>
      <c r="E71" s="23"/>
      <c r="F71" s="23"/>
      <c r="G71" s="18"/>
      <c r="H71" s="18"/>
      <c r="I71" s="18"/>
      <c r="J71" s="18"/>
      <c r="K71" s="4"/>
      <c r="L71" s="4"/>
      <c r="M71" s="4"/>
      <c r="N71" s="67"/>
    </row>
    <row r="72" spans="1:14" ht="15.75" thickBot="1" x14ac:dyDescent="0.3">
      <c r="A72" s="72"/>
      <c r="B72" s="73"/>
      <c r="C72" s="74"/>
      <c r="D72" s="74"/>
      <c r="E72" s="74"/>
      <c r="F72" s="74"/>
      <c r="G72" s="73"/>
      <c r="H72" s="73"/>
      <c r="I72" s="73"/>
      <c r="J72" s="73"/>
      <c r="K72" s="75"/>
      <c r="L72" s="75"/>
      <c r="M72" s="75"/>
      <c r="N72" s="76"/>
    </row>
    <row r="73" spans="1:14" x14ac:dyDescent="0.25">
      <c r="A73" s="13"/>
      <c r="B73" s="18"/>
      <c r="C73" s="23"/>
      <c r="D73" s="23"/>
      <c r="E73" s="23"/>
      <c r="F73" s="23"/>
      <c r="G73" s="18"/>
      <c r="H73" s="18"/>
      <c r="I73" s="18"/>
      <c r="J73" s="18"/>
    </row>
    <row r="74" spans="1:14" x14ac:dyDescent="0.25">
      <c r="A74" s="13"/>
      <c r="B74" s="18"/>
      <c r="C74" s="23"/>
      <c r="D74" s="23"/>
      <c r="E74" s="23"/>
      <c r="F74" s="23"/>
      <c r="G74" s="18"/>
      <c r="H74" s="18"/>
      <c r="I74" s="18"/>
      <c r="J74" s="18"/>
    </row>
    <row r="75" spans="1:14" x14ac:dyDescent="0.25">
      <c r="A75" s="13"/>
      <c r="B75" s="18"/>
      <c r="C75" s="23"/>
      <c r="D75" s="23"/>
      <c r="E75" s="23"/>
      <c r="F75" s="23"/>
      <c r="G75" s="18"/>
      <c r="H75" s="18"/>
      <c r="I75" s="18"/>
      <c r="J75" s="18"/>
    </row>
    <row r="76" spans="1:14" x14ac:dyDescent="0.25">
      <c r="A76" s="13"/>
      <c r="B76" s="18"/>
      <c r="C76" s="23"/>
      <c r="D76" s="23"/>
      <c r="E76" s="23"/>
      <c r="F76" s="23"/>
      <c r="G76" s="18"/>
      <c r="H76" s="18"/>
      <c r="I76" s="18"/>
      <c r="J76" s="18"/>
    </row>
    <row r="77" spans="1:14" x14ac:dyDescent="0.25">
      <c r="A77" s="13"/>
      <c r="B77" s="18"/>
      <c r="C77" s="23"/>
      <c r="D77" s="23"/>
      <c r="E77" s="23"/>
      <c r="F77" s="23"/>
      <c r="G77" s="18"/>
      <c r="H77" s="18"/>
      <c r="I77" s="18"/>
      <c r="J77" s="18"/>
    </row>
    <row r="78" spans="1:14" x14ac:dyDescent="0.25">
      <c r="A78" s="13"/>
      <c r="B78" s="18"/>
      <c r="C78" s="23"/>
      <c r="D78" s="23"/>
      <c r="E78" s="23"/>
      <c r="F78" s="23"/>
      <c r="G78" s="18"/>
      <c r="H78" s="18"/>
      <c r="I78" s="18"/>
      <c r="J78" s="18"/>
    </row>
    <row r="79" spans="1:14" x14ac:dyDescent="0.25">
      <c r="A79" s="13"/>
      <c r="B79" s="18"/>
      <c r="C79" s="23"/>
      <c r="D79" s="23"/>
      <c r="E79" s="23"/>
      <c r="F79" s="23"/>
      <c r="G79" s="18"/>
      <c r="H79" s="18"/>
      <c r="I79" s="18"/>
      <c r="J79" s="18"/>
    </row>
    <row r="80" spans="1:14" x14ac:dyDescent="0.25">
      <c r="A80" s="13"/>
      <c r="B80" s="18"/>
      <c r="C80" s="23"/>
      <c r="D80" s="23"/>
      <c r="E80" s="23"/>
      <c r="F80" s="23"/>
      <c r="G80" s="18"/>
      <c r="H80" s="18"/>
      <c r="I80" s="18"/>
      <c r="J80" s="18"/>
    </row>
    <row r="81" spans="1:10" x14ac:dyDescent="0.25">
      <c r="A81" s="13"/>
      <c r="B81" s="18"/>
      <c r="C81" s="23"/>
      <c r="D81" s="23"/>
      <c r="E81" s="23"/>
      <c r="F81" s="23"/>
      <c r="G81" s="18"/>
      <c r="H81" s="18"/>
      <c r="I81" s="18"/>
      <c r="J81" s="18"/>
    </row>
    <row r="82" spans="1:10" x14ac:dyDescent="0.25">
      <c r="A82" s="13"/>
      <c r="B82" s="18"/>
      <c r="C82" s="23"/>
      <c r="D82" s="23"/>
      <c r="E82" s="23"/>
      <c r="F82" s="23"/>
      <c r="G82" s="18"/>
      <c r="H82" s="18"/>
      <c r="I82" s="18"/>
      <c r="J82" s="18"/>
    </row>
    <row r="83" spans="1:10" ht="15" customHeight="1" x14ac:dyDescent="0.25">
      <c r="A83" s="13"/>
      <c r="B83" s="18"/>
      <c r="C83" s="23"/>
      <c r="D83" s="23"/>
      <c r="E83" s="23"/>
      <c r="F83" s="23"/>
      <c r="G83" s="18"/>
      <c r="H83" s="18"/>
      <c r="I83" s="18"/>
      <c r="J83" s="18"/>
    </row>
    <row r="84" spans="1:10" x14ac:dyDescent="0.25">
      <c r="A84" s="13"/>
      <c r="B84" s="18"/>
      <c r="C84" s="23"/>
      <c r="D84" s="23"/>
      <c r="E84" s="23"/>
      <c r="F84" s="23"/>
      <c r="G84" s="18"/>
      <c r="H84" s="18"/>
      <c r="I84" s="18"/>
      <c r="J84" s="18"/>
    </row>
    <row r="85" spans="1:10" x14ac:dyDescent="0.25">
      <c r="A85" s="20"/>
      <c r="B85" s="7"/>
      <c r="C85" s="19"/>
      <c r="D85" s="6"/>
      <c r="E85" s="20"/>
      <c r="F85" s="15"/>
      <c r="G85" s="7"/>
      <c r="H85" s="5"/>
      <c r="I85" s="11"/>
      <c r="J85" s="20"/>
    </row>
    <row r="86" spans="1:10" x14ac:dyDescent="0.25">
      <c r="A86" s="20"/>
      <c r="B86" s="7"/>
      <c r="C86" s="14"/>
      <c r="D86" s="6"/>
      <c r="E86" s="20"/>
      <c r="F86" s="15"/>
      <c r="G86" s="7"/>
      <c r="H86" s="5"/>
      <c r="I86" s="16"/>
      <c r="J86" s="6"/>
    </row>
    <row r="87" spans="1:10" x14ac:dyDescent="0.25">
      <c r="A87" s="20"/>
      <c r="B87" s="7"/>
      <c r="C87" s="8"/>
      <c r="D87" s="6"/>
      <c r="E87" s="20"/>
      <c r="F87" s="6"/>
      <c r="G87" s="7"/>
      <c r="H87" s="5"/>
      <c r="I87" s="5"/>
      <c r="J87" s="6"/>
    </row>
    <row r="88" spans="1:10" x14ac:dyDescent="0.25">
      <c r="A88" s="21"/>
      <c r="B88" s="17"/>
      <c r="C88" s="17"/>
      <c r="D88" s="17"/>
      <c r="E88" s="17"/>
      <c r="F88" s="17"/>
      <c r="G88" s="17"/>
      <c r="H88" s="17"/>
      <c r="I88" s="17"/>
      <c r="J88" s="17"/>
    </row>
    <row r="89" spans="1:10" x14ac:dyDescent="0.25">
      <c r="A89" s="21"/>
      <c r="B89" s="17"/>
      <c r="C89" s="17"/>
      <c r="D89" s="17"/>
      <c r="E89" s="17"/>
      <c r="F89" s="17"/>
      <c r="G89" s="17"/>
      <c r="H89" s="22"/>
      <c r="I89" s="17"/>
      <c r="J89" s="17"/>
    </row>
    <row r="90" spans="1:10" x14ac:dyDescent="0.25">
      <c r="A90" s="13"/>
      <c r="B90" s="17"/>
      <c r="C90" s="17"/>
      <c r="D90" s="17"/>
      <c r="E90" s="17"/>
      <c r="F90" s="17"/>
      <c r="G90" s="17"/>
      <c r="H90" s="22"/>
      <c r="I90" s="17"/>
      <c r="J90" s="17"/>
    </row>
    <row r="91" spans="1:10" x14ac:dyDescent="0.25">
      <c r="A91" s="13"/>
      <c r="B91" s="18"/>
      <c r="C91" s="23"/>
      <c r="D91" s="23"/>
      <c r="E91" s="23"/>
      <c r="F91" s="23"/>
      <c r="G91" s="18"/>
      <c r="H91" s="18"/>
      <c r="I91" s="18"/>
      <c r="J91" s="18"/>
    </row>
    <row r="92" spans="1:10" x14ac:dyDescent="0.25">
      <c r="A92" s="13"/>
      <c r="B92" s="18"/>
      <c r="C92" s="23"/>
      <c r="D92" s="23"/>
      <c r="E92" s="23"/>
      <c r="F92" s="23"/>
      <c r="G92" s="18"/>
      <c r="H92" s="18"/>
      <c r="I92" s="18"/>
      <c r="J92" s="18"/>
    </row>
    <row r="93" spans="1:10" x14ac:dyDescent="0.25">
      <c r="A93" s="13"/>
      <c r="B93" s="18"/>
      <c r="C93" s="23"/>
      <c r="D93" s="23"/>
      <c r="E93" s="23"/>
      <c r="F93" s="23"/>
      <c r="G93" s="18"/>
      <c r="H93" s="18"/>
      <c r="I93" s="18"/>
      <c r="J93" s="18"/>
    </row>
    <row r="94" spans="1:10" x14ac:dyDescent="0.25">
      <c r="A94" s="13"/>
      <c r="B94" s="18"/>
      <c r="C94" s="23"/>
      <c r="D94" s="23"/>
      <c r="E94" s="23"/>
      <c r="F94" s="23"/>
      <c r="G94" s="18"/>
      <c r="H94" s="18"/>
      <c r="I94" s="18"/>
      <c r="J94" s="18"/>
    </row>
    <row r="95" spans="1:10" x14ac:dyDescent="0.25">
      <c r="A95" s="13"/>
      <c r="B95" s="18"/>
      <c r="C95" s="23"/>
      <c r="D95" s="23"/>
      <c r="E95" s="23"/>
      <c r="F95" s="23"/>
      <c r="G95" s="18"/>
      <c r="H95" s="18"/>
      <c r="I95" s="18"/>
      <c r="J95" s="18"/>
    </row>
    <row r="96" spans="1:10" x14ac:dyDescent="0.25">
      <c r="A96" s="13"/>
      <c r="B96" s="18"/>
      <c r="C96" s="23"/>
      <c r="D96" s="23"/>
      <c r="E96" s="23"/>
      <c r="F96" s="23"/>
      <c r="G96" s="18"/>
      <c r="H96" s="18"/>
      <c r="I96" s="18"/>
      <c r="J96" s="18"/>
    </row>
    <row r="97" spans="1:10" x14ac:dyDescent="0.25">
      <c r="A97" s="13"/>
      <c r="B97" s="18"/>
      <c r="C97" s="23"/>
      <c r="D97" s="23"/>
      <c r="E97" s="23"/>
      <c r="F97" s="23"/>
      <c r="G97" s="18"/>
      <c r="H97" s="18"/>
      <c r="I97" s="18"/>
      <c r="J97" s="18"/>
    </row>
    <row r="98" spans="1:10" x14ac:dyDescent="0.25">
      <c r="A98" s="13"/>
      <c r="B98" s="18"/>
      <c r="C98" s="23"/>
      <c r="D98" s="23"/>
      <c r="E98" s="23"/>
      <c r="F98" s="23"/>
      <c r="G98" s="18"/>
      <c r="H98" s="18"/>
      <c r="I98" s="18"/>
      <c r="J98" s="18"/>
    </row>
    <row r="99" spans="1:10" x14ac:dyDescent="0.25">
      <c r="A99" s="13"/>
      <c r="B99" s="18"/>
      <c r="C99" s="23"/>
      <c r="D99" s="23"/>
      <c r="E99" s="23"/>
      <c r="F99" s="23"/>
      <c r="G99" s="18"/>
      <c r="H99" s="18"/>
      <c r="I99" s="18"/>
      <c r="J99" s="18"/>
    </row>
    <row r="100" spans="1:10" x14ac:dyDescent="0.25">
      <c r="A100" s="13"/>
      <c r="B100" s="18"/>
      <c r="C100" s="23"/>
      <c r="D100" s="23"/>
      <c r="E100" s="23"/>
      <c r="F100" s="23"/>
      <c r="G100" s="18"/>
      <c r="H100" s="18"/>
      <c r="I100" s="18"/>
      <c r="J100" s="18"/>
    </row>
    <row r="101" spans="1:10" x14ac:dyDescent="0.25">
      <c r="A101" s="13"/>
      <c r="B101" s="18"/>
      <c r="C101" s="23"/>
      <c r="D101" s="23"/>
      <c r="E101" s="23"/>
      <c r="F101" s="23"/>
      <c r="G101" s="18"/>
      <c r="H101" s="18"/>
      <c r="I101" s="18"/>
      <c r="J101" s="18"/>
    </row>
    <row r="102" spans="1:10" x14ac:dyDescent="0.25">
      <c r="A102" s="13"/>
      <c r="B102" s="18"/>
      <c r="C102" s="23"/>
      <c r="D102" s="23"/>
      <c r="E102" s="23"/>
      <c r="F102" s="23"/>
      <c r="G102" s="18"/>
      <c r="H102" s="18"/>
      <c r="I102" s="18"/>
      <c r="J102" s="18"/>
    </row>
    <row r="103" spans="1:10" x14ac:dyDescent="0.25">
      <c r="A103" s="13"/>
      <c r="B103" s="18"/>
      <c r="C103" s="23"/>
      <c r="D103" s="23"/>
      <c r="E103" s="23"/>
      <c r="F103" s="23"/>
      <c r="G103" s="18"/>
      <c r="H103" s="18"/>
      <c r="I103" s="18"/>
      <c r="J103" s="18"/>
    </row>
    <row r="104" spans="1:10" x14ac:dyDescent="0.25">
      <c r="A104" s="13"/>
      <c r="B104" s="18"/>
      <c r="C104" s="23"/>
      <c r="D104" s="23"/>
      <c r="E104" s="23"/>
      <c r="F104" s="23"/>
      <c r="G104" s="18"/>
      <c r="H104" s="18"/>
      <c r="I104" s="18"/>
      <c r="J104" s="18"/>
    </row>
    <row r="105" spans="1:10" x14ac:dyDescent="0.25">
      <c r="A105" s="13"/>
      <c r="B105" s="18"/>
      <c r="C105" s="23"/>
      <c r="D105" s="23"/>
      <c r="E105" s="23"/>
      <c r="F105" s="23"/>
      <c r="G105" s="18"/>
      <c r="H105" s="18"/>
      <c r="I105" s="18"/>
      <c r="J105" s="18"/>
    </row>
    <row r="106" spans="1:10" x14ac:dyDescent="0.25">
      <c r="A106" s="13"/>
      <c r="B106" s="18"/>
      <c r="C106" s="23"/>
      <c r="D106" s="23"/>
      <c r="E106" s="23"/>
      <c r="F106" s="23"/>
      <c r="G106" s="18"/>
      <c r="H106" s="18"/>
      <c r="I106" s="18"/>
      <c r="J106" s="18"/>
    </row>
    <row r="107" spans="1:10" x14ac:dyDescent="0.25">
      <c r="A107" s="13"/>
      <c r="B107" s="18"/>
      <c r="C107" s="23"/>
      <c r="D107" s="23"/>
      <c r="E107" s="23"/>
      <c r="F107" s="23"/>
      <c r="G107" s="18"/>
      <c r="H107" s="18"/>
      <c r="I107" s="18"/>
      <c r="J107" s="18"/>
    </row>
    <row r="108" spans="1:10" x14ac:dyDescent="0.25">
      <c r="A108" s="13"/>
      <c r="B108" s="18"/>
      <c r="C108" s="23"/>
      <c r="D108" s="23"/>
      <c r="E108" s="23"/>
      <c r="F108" s="23"/>
      <c r="G108" s="18"/>
      <c r="H108" s="18"/>
      <c r="I108" s="18"/>
      <c r="J108" s="18"/>
    </row>
    <row r="109" spans="1:10" x14ac:dyDescent="0.25">
      <c r="A109" s="13"/>
      <c r="B109" s="18"/>
      <c r="C109" s="23"/>
      <c r="D109" s="23"/>
      <c r="E109" s="23"/>
      <c r="F109" s="23"/>
      <c r="G109" s="18"/>
      <c r="H109" s="18"/>
      <c r="I109" s="18"/>
      <c r="J109" s="18"/>
    </row>
    <row r="110" spans="1:10" x14ac:dyDescent="0.25">
      <c r="A110" s="13"/>
      <c r="B110" s="18"/>
      <c r="C110" s="23"/>
      <c r="D110" s="23"/>
      <c r="E110" s="23"/>
      <c r="F110" s="23"/>
      <c r="G110" s="18"/>
      <c r="H110" s="18"/>
      <c r="I110" s="18"/>
      <c r="J110" s="18"/>
    </row>
    <row r="111" spans="1:10" x14ac:dyDescent="0.25">
      <c r="A111" s="13"/>
      <c r="B111" s="18"/>
      <c r="C111" s="23"/>
      <c r="D111" s="23"/>
      <c r="E111" s="23"/>
      <c r="F111" s="23"/>
      <c r="G111" s="18"/>
      <c r="H111" s="18"/>
      <c r="I111" s="18"/>
      <c r="J111" s="18"/>
    </row>
    <row r="112" spans="1:10" x14ac:dyDescent="0.25">
      <c r="A112" s="24"/>
      <c r="B112" s="12"/>
      <c r="C112" s="12"/>
      <c r="D112" s="26"/>
      <c r="E112" s="12"/>
      <c r="F112" s="12"/>
      <c r="G112" s="12"/>
      <c r="H112" s="12"/>
      <c r="I112" s="12"/>
      <c r="J112" s="12"/>
    </row>
  </sheetData>
  <sheetProtection algorithmName="SHA-512" hashValue="elR2iiYg+K8d+yeKJRwZAnkzZdJHZTEI437ye8MuhisGSwQ2NTuISq+ptMRl2G5rL2oupESKfbDffkfXVmlwdA==" saltValue="ueApj+hNcrQ6ElbylWFZTA==" spinCount="100000" sheet="1" objects="1" scenarios="1"/>
  <mergeCells count="21">
    <mergeCell ref="K8:L8"/>
    <mergeCell ref="K9:L9"/>
    <mergeCell ref="K10:L10"/>
    <mergeCell ref="K11:L11"/>
    <mergeCell ref="K12:L12"/>
    <mergeCell ref="K7:L7"/>
    <mergeCell ref="K13:L13"/>
    <mergeCell ref="B1:M1"/>
    <mergeCell ref="A64:D64"/>
    <mergeCell ref="E64:G64"/>
    <mergeCell ref="H64:J64"/>
    <mergeCell ref="D28:E28"/>
    <mergeCell ref="B36:M36"/>
    <mergeCell ref="B26:M26"/>
    <mergeCell ref="E27:G27"/>
    <mergeCell ref="E38:F38"/>
    <mergeCell ref="G38:J38"/>
    <mergeCell ref="D30:E30"/>
    <mergeCell ref="D32:E32"/>
    <mergeCell ref="D34:E34"/>
    <mergeCell ref="K14:L14"/>
  </mergeCells>
  <dataValidations count="11">
    <dataValidation type="list" allowBlank="1" showInputMessage="1" showErrorMessage="1" sqref="C37 C67 C87" xr:uid="{00000000-0002-0000-0100-000002000000}">
      <formula1>"1,2,3,4,5,6,7,8"</formula1>
    </dataValidation>
    <dataValidation type="list" allowBlank="1" showInputMessage="1" showErrorMessage="1" sqref="C9:C13" xr:uid="{504819B1-CD62-403E-86AA-9EB0AA14EE0D}">
      <formula1>"FE-01,FE-02,FE-03,FE-04"</formula1>
    </dataValidation>
    <dataValidation type="decimal" allowBlank="1" showInputMessage="1" showErrorMessage="1" sqref="D18:D21" xr:uid="{3CB5D8C7-F019-48AE-A891-49CF0441737D}">
      <formula1>-100000000</formula1>
      <formula2>10000000</formula2>
    </dataValidation>
    <dataValidation type="whole" allowBlank="1" showInputMessage="1" showErrorMessage="1" error="Must be integer - whole number" sqref="D17" xr:uid="{9BB3F51A-1A2F-48AF-B007-2D05360104FD}">
      <formula1>-1000</formula1>
      <formula2>10000000000</formula2>
    </dataValidation>
    <dataValidation operator="greaterThan" allowBlank="1" showInputMessage="1" showErrorMessage="1" error="Must be integer - whole number" sqref="D15" xr:uid="{F3823A02-BCEB-4169-BBFA-3B3746B0FFAA}"/>
    <dataValidation type="decimal" allowBlank="1" showInputMessage="1" showErrorMessage="1" sqref="D11:D13" xr:uid="{C2FA6470-829D-43C6-BCC5-15A846761DF8}">
      <formula1>-100000000</formula1>
      <formula2>1000000000</formula2>
    </dataValidation>
    <dataValidation allowBlank="1" showInputMessage="1" showErrorMessage="1" error="Must be integer - whole number" sqref="I33:I34 D34" xr:uid="{11C5866A-6868-4977-B1E2-E842D8CBFA1D}"/>
    <dataValidation type="whole" errorStyle="warning" allowBlank="1" showInputMessage="1" showErrorMessage="1" errorTitle="Insuficient number of proves" error="Value must be higher than 5 proves." sqref="D34 D30:E30 D31" xr:uid="{543D9627-20C7-4717-B9DA-7ADECAF82BBF}">
      <formula1>5</formula1>
      <formula2>100</formula2>
    </dataValidation>
    <dataValidation type="decimal" allowBlank="1" showInputMessage="1" showErrorMessage="1" sqref="D22:D25" xr:uid="{808490C5-28BB-47B0-A26F-AA07A00DE21C}">
      <formula1>-10000000</formula1>
      <formula2>10000000</formula2>
    </dataValidation>
    <dataValidation type="list" allowBlank="1" showInputMessage="1" showErrorMessage="1" sqref="D26 D28" xr:uid="{9DBF92FC-7F60-4569-82F0-09AAD542785E}">
      <formula1>MeterNo</formula1>
    </dataValidation>
    <dataValidation errorStyle="warning" allowBlank="1" showInputMessage="1" showErrorMessage="1" errorTitle="Insuficient number of proves" error="Value must be higher than 5 proves." sqref="D32:E32" xr:uid="{5A82FEFE-7F4A-48B8-BDFC-A2E2435A8B1A}"/>
  </dataValidations>
  <pageMargins left="0.7" right="0.7" top="0.75" bottom="0.75" header="0.3" footer="0.3"/>
  <pageSetup paperSize="9" scale="60"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ommandButton2">
          <controlPr locked="0" defaultSize="0" autoFill="0" autoLine="0" r:id="rId5">
            <anchor moveWithCells="1">
              <from>
                <xdr:col>7</xdr:col>
                <xdr:colOff>638175</xdr:colOff>
                <xdr:row>20</xdr:row>
                <xdr:rowOff>66675</xdr:rowOff>
              </from>
              <to>
                <xdr:col>13</xdr:col>
                <xdr:colOff>447675</xdr:colOff>
                <xdr:row>22</xdr:row>
                <xdr:rowOff>0</xdr:rowOff>
              </to>
            </anchor>
          </controlPr>
        </control>
      </mc:Choice>
      <mc:Fallback>
        <control shapeId="33820" r:id="rId4" name="CommandButton2"/>
      </mc:Fallback>
    </mc:AlternateContent>
    <mc:AlternateContent xmlns:mc="http://schemas.openxmlformats.org/markup-compatibility/2006">
      <mc:Choice Requires="x14">
        <control shapeId="33816" r:id="rId6" name="OptionButton2">
          <controlPr defaultSize="0" autoLine="0" r:id="rId7">
            <anchor moveWithCells="1">
              <from>
                <xdr:col>8</xdr:col>
                <xdr:colOff>695325</xdr:colOff>
                <xdr:row>28</xdr:row>
                <xdr:rowOff>161925</xdr:rowOff>
              </from>
              <to>
                <xdr:col>12</xdr:col>
                <xdr:colOff>114300</xdr:colOff>
                <xdr:row>30</xdr:row>
                <xdr:rowOff>9525</xdr:rowOff>
              </to>
            </anchor>
          </controlPr>
        </control>
      </mc:Choice>
      <mc:Fallback>
        <control shapeId="33816" r:id="rId6" name="OptionButton2"/>
      </mc:Fallback>
    </mc:AlternateContent>
    <mc:AlternateContent xmlns:mc="http://schemas.openxmlformats.org/markup-compatibility/2006">
      <mc:Choice Requires="x14">
        <control shapeId="33815" r:id="rId8" name="OptionButton1">
          <controlPr defaultSize="0" autoLine="0" r:id="rId9">
            <anchor moveWithCells="1">
              <from>
                <xdr:col>8</xdr:col>
                <xdr:colOff>695325</xdr:colOff>
                <xdr:row>27</xdr:row>
                <xdr:rowOff>19050</xdr:rowOff>
              </from>
              <to>
                <xdr:col>12</xdr:col>
                <xdr:colOff>114300</xdr:colOff>
                <xdr:row>28</xdr:row>
                <xdr:rowOff>57150</xdr:rowOff>
              </to>
            </anchor>
          </controlPr>
        </control>
      </mc:Choice>
      <mc:Fallback>
        <control shapeId="33815" r:id="rId8" name="OptionButton1"/>
      </mc:Fallback>
    </mc:AlternateContent>
    <mc:AlternateContent xmlns:mc="http://schemas.openxmlformats.org/markup-compatibility/2006">
      <mc:Choice Requires="x14">
        <control shapeId="33813" r:id="rId10" name="CommandButton1">
          <controlPr locked="0" defaultSize="0" autoFill="0" autoLine="0" r:id="rId11">
            <anchor moveWithCells="1">
              <from>
                <xdr:col>7</xdr:col>
                <xdr:colOff>638175</xdr:colOff>
                <xdr:row>21</xdr:row>
                <xdr:rowOff>171450</xdr:rowOff>
              </from>
              <to>
                <xdr:col>13</xdr:col>
                <xdr:colOff>447675</xdr:colOff>
                <xdr:row>23</xdr:row>
                <xdr:rowOff>104775</xdr:rowOff>
              </to>
            </anchor>
          </controlPr>
        </control>
      </mc:Choice>
      <mc:Fallback>
        <control shapeId="33813" r:id="rId10" name="CommandButton1"/>
      </mc:Fallback>
    </mc:AlternateContent>
    <mc:AlternateContent xmlns:mc="http://schemas.openxmlformats.org/markup-compatibility/2006">
      <mc:Choice Requires="x14">
        <control shapeId="33822" r:id="rId12" name="CommandButton3">
          <controlPr locked="0" defaultSize="0" autoFill="0" autoLine="0" r:id="rId13">
            <anchor moveWithCells="1">
              <from>
                <xdr:col>7</xdr:col>
                <xdr:colOff>638175</xdr:colOff>
                <xdr:row>18</xdr:row>
                <xdr:rowOff>161925</xdr:rowOff>
              </from>
              <to>
                <xdr:col>13</xdr:col>
                <xdr:colOff>447675</xdr:colOff>
                <xdr:row>20</xdr:row>
                <xdr:rowOff>95250</xdr:rowOff>
              </to>
            </anchor>
          </controlPr>
        </control>
      </mc:Choice>
      <mc:Fallback>
        <control shapeId="33822" r:id="rId12" name="CommandButton3"/>
      </mc:Fallback>
    </mc:AlternateContent>
    <mc:AlternateContent xmlns:mc="http://schemas.openxmlformats.org/markup-compatibility/2006">
      <mc:Choice Requires="x14">
        <control shapeId="33826" r:id="rId14" name="CommandButton4">
          <controlPr locked="0" defaultSize="0" autoFill="0" autoLine="0" r:id="rId15">
            <anchor moveWithCells="1">
              <from>
                <xdr:col>7</xdr:col>
                <xdr:colOff>638175</xdr:colOff>
                <xdr:row>17</xdr:row>
                <xdr:rowOff>66675</xdr:rowOff>
              </from>
              <to>
                <xdr:col>13</xdr:col>
                <xdr:colOff>447675</xdr:colOff>
                <xdr:row>19</xdr:row>
                <xdr:rowOff>0</xdr:rowOff>
              </to>
            </anchor>
          </controlPr>
        </control>
      </mc:Choice>
      <mc:Fallback>
        <control shapeId="33826" r:id="rId1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99726-F3CD-4490-8FA7-8971BF3630D9}">
  <sheetPr codeName="List3"/>
  <dimension ref="A1:BX223"/>
  <sheetViews>
    <sheetView showGridLines="0" topLeftCell="A2" workbookViewId="0">
      <selection activeCell="E129" sqref="E129"/>
    </sheetView>
  </sheetViews>
  <sheetFormatPr defaultRowHeight="15" x14ac:dyDescent="0.25"/>
  <cols>
    <col min="1" max="3" width="9.28515625" bestFit="1" customWidth="1"/>
    <col min="5" max="9" width="11" customWidth="1"/>
    <col min="10" max="76" width="9.28515625" bestFit="1" customWidth="1"/>
  </cols>
  <sheetData>
    <row r="1" spans="1:76" x14ac:dyDescent="0.25">
      <c r="A1" s="3" t="s">
        <v>82</v>
      </c>
      <c r="B1" s="3" t="s">
        <v>124</v>
      </c>
      <c r="C1" s="3" t="s">
        <v>125</v>
      </c>
      <c r="D1" s="3" t="s">
        <v>126</v>
      </c>
      <c r="E1" s="3" t="s">
        <v>127</v>
      </c>
      <c r="F1" s="3" t="s">
        <v>96</v>
      </c>
      <c r="G1" s="3" t="s">
        <v>128</v>
      </c>
      <c r="H1" s="3" t="s">
        <v>76</v>
      </c>
      <c r="I1" s="3" t="s">
        <v>101</v>
      </c>
      <c r="J1" s="3" t="s">
        <v>102</v>
      </c>
      <c r="K1" s="3" t="s">
        <v>98</v>
      </c>
      <c r="L1" s="45" t="s">
        <v>129</v>
      </c>
      <c r="M1" s="45" t="s">
        <v>100</v>
      </c>
      <c r="N1" s="45" t="s">
        <v>114</v>
      </c>
      <c r="O1" s="45" t="s">
        <v>130</v>
      </c>
      <c r="P1" s="45" t="s">
        <v>131</v>
      </c>
      <c r="Q1" s="45" t="s">
        <v>132</v>
      </c>
      <c r="R1" s="45" t="s">
        <v>131</v>
      </c>
      <c r="S1" s="45" t="s">
        <v>132</v>
      </c>
      <c r="T1" s="45" t="s">
        <v>133</v>
      </c>
      <c r="U1" s="45" t="s">
        <v>134</v>
      </c>
      <c r="V1" s="45" t="s">
        <v>133</v>
      </c>
      <c r="W1" s="45" t="s">
        <v>134</v>
      </c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</row>
    <row r="2" spans="1:76" x14ac:dyDescent="0.25">
      <c r="A2" s="46">
        <v>1</v>
      </c>
      <c r="B2" s="46">
        <v>1</v>
      </c>
      <c r="C2" s="46" t="s">
        <v>137</v>
      </c>
      <c r="D2" s="47" t="s">
        <v>143</v>
      </c>
      <c r="E2" s="47">
        <v>123456</v>
      </c>
      <c r="F2" s="47">
        <v>4</v>
      </c>
      <c r="G2" s="47">
        <v>29250</v>
      </c>
      <c r="H2" s="47">
        <v>28730.673419378491</v>
      </c>
      <c r="I2" s="47">
        <v>24.846145456214295</v>
      </c>
      <c r="J2" s="47">
        <v>12.190940491249773</v>
      </c>
      <c r="K2" s="1">
        <v>24.968570171105618</v>
      </c>
      <c r="L2" s="1">
        <v>12.405605118677146</v>
      </c>
      <c r="M2" s="1">
        <v>730.1878602136012</v>
      </c>
      <c r="N2" s="1">
        <v>2.1221603012265208E-2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 x14ac:dyDescent="0.25">
      <c r="A3" s="46">
        <v>2</v>
      </c>
      <c r="B3" s="46">
        <v>2</v>
      </c>
      <c r="C3" s="46" t="s">
        <v>137</v>
      </c>
      <c r="D3" s="47" t="s">
        <v>143</v>
      </c>
      <c r="E3" s="47">
        <v>123456</v>
      </c>
      <c r="F3" s="47">
        <v>4</v>
      </c>
      <c r="G3" s="47">
        <v>29250</v>
      </c>
      <c r="H3" s="47">
        <v>27637.530006216992</v>
      </c>
      <c r="I3" s="47">
        <v>22.860622091647368</v>
      </c>
      <c r="J3" s="47">
        <v>12.890687738932106</v>
      </c>
      <c r="K3" s="1">
        <v>22.956634755999204</v>
      </c>
      <c r="L3" s="1">
        <v>13.196102954532801</v>
      </c>
      <c r="M3" s="1">
        <v>777.00121505561924</v>
      </c>
      <c r="N3" s="1">
        <v>1.567114520198138E-2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</row>
    <row r="4" spans="1:76" x14ac:dyDescent="0.25">
      <c r="A4" s="46">
        <v>5</v>
      </c>
      <c r="B4" s="46">
        <v>3</v>
      </c>
      <c r="C4" s="46" t="s">
        <v>137</v>
      </c>
      <c r="D4" s="47" t="s">
        <v>143</v>
      </c>
      <c r="E4" s="47">
        <v>123456</v>
      </c>
      <c r="F4" s="47">
        <v>4</v>
      </c>
      <c r="G4" s="47">
        <v>29250</v>
      </c>
      <c r="H4" s="47">
        <v>26813.354688519557</v>
      </c>
      <c r="I4" s="47">
        <v>21.056606300285079</v>
      </c>
      <c r="J4" s="47">
        <v>14.796326162117778</v>
      </c>
      <c r="K4" s="1">
        <v>21.073102944110122</v>
      </c>
      <c r="L4" s="1">
        <v>14.941750403305814</v>
      </c>
      <c r="M4" s="1">
        <v>780.40794678808174</v>
      </c>
      <c r="N4" s="1">
        <v>9.6572650035803755E-3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 x14ac:dyDescent="0.25">
      <c r="A5" s="46">
        <v>6</v>
      </c>
      <c r="B5" s="46">
        <v>4</v>
      </c>
      <c r="C5" s="46" t="s">
        <v>137</v>
      </c>
      <c r="D5" s="47" t="s">
        <v>143</v>
      </c>
      <c r="E5" s="47">
        <v>123456</v>
      </c>
      <c r="F5" s="47">
        <v>4</v>
      </c>
      <c r="G5" s="47">
        <v>29250</v>
      </c>
      <c r="H5" s="47">
        <v>28542.835407338047</v>
      </c>
      <c r="I5" s="47">
        <v>17.610216392845519</v>
      </c>
      <c r="J5" s="47">
        <v>12.21250675946848</v>
      </c>
      <c r="K5" s="1">
        <v>18.071551530706913</v>
      </c>
      <c r="L5" s="1">
        <v>12.272745222562557</v>
      </c>
      <c r="M5" s="1">
        <v>756.86959238064026</v>
      </c>
      <c r="N5" s="1">
        <v>1.2561504767039905E-2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x14ac:dyDescent="0.25">
      <c r="A6" s="46">
        <v>9</v>
      </c>
      <c r="B6" s="46">
        <v>5</v>
      </c>
      <c r="C6" s="46" t="s">
        <v>137</v>
      </c>
      <c r="D6" s="47" t="s">
        <v>143</v>
      </c>
      <c r="E6" s="47">
        <v>123456</v>
      </c>
      <c r="F6" s="47">
        <v>4</v>
      </c>
      <c r="G6" s="47">
        <v>29250</v>
      </c>
      <c r="H6" s="47">
        <v>26825.452929734693</v>
      </c>
      <c r="I6" s="47">
        <v>24.718634627647873</v>
      </c>
      <c r="J6" s="47">
        <v>12.874965141443875</v>
      </c>
      <c r="K6" s="1">
        <v>24.741320512533914</v>
      </c>
      <c r="L6" s="1">
        <v>13.097807769260475</v>
      </c>
      <c r="M6" s="1">
        <v>718.78723821714993</v>
      </c>
      <c r="N6" s="1">
        <v>1.7436061447795789E-2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 x14ac:dyDescent="0.25">
      <c r="A7" s="46">
        <v>10</v>
      </c>
      <c r="B7" s="46">
        <v>6</v>
      </c>
      <c r="C7" s="46" t="s">
        <v>137</v>
      </c>
      <c r="D7" s="47" t="s">
        <v>143</v>
      </c>
      <c r="E7" s="47">
        <v>123456</v>
      </c>
      <c r="F7" s="47">
        <v>4</v>
      </c>
      <c r="G7" s="47">
        <v>29250</v>
      </c>
      <c r="H7" s="47">
        <v>27854.343315504084</v>
      </c>
      <c r="I7" s="47">
        <v>19.447649369315435</v>
      </c>
      <c r="J7" s="47">
        <v>14.480069177016707</v>
      </c>
      <c r="K7" s="1">
        <v>19.67367474053146</v>
      </c>
      <c r="L7" s="1">
        <v>14.51011660338461</v>
      </c>
      <c r="M7" s="1">
        <v>651.53386455125326</v>
      </c>
      <c r="N7" s="1">
        <v>1.3523171769140334E-2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 x14ac:dyDescent="0.25">
      <c r="A8" s="46">
        <v>13</v>
      </c>
      <c r="B8" s="46">
        <v>7</v>
      </c>
      <c r="C8" s="46" t="s">
        <v>137</v>
      </c>
      <c r="D8" s="47" t="s">
        <v>143</v>
      </c>
      <c r="E8" s="47">
        <v>123456</v>
      </c>
      <c r="F8" s="47">
        <v>4</v>
      </c>
      <c r="G8" s="47">
        <v>29250</v>
      </c>
      <c r="H8" s="47">
        <v>29767.53114172196</v>
      </c>
      <c r="I8" s="47">
        <v>18.595794095346474</v>
      </c>
      <c r="J8" s="47">
        <v>14.297592156131332</v>
      </c>
      <c r="K8" s="1">
        <v>18.606650022035687</v>
      </c>
      <c r="L8" s="1">
        <v>14.434838604144927</v>
      </c>
      <c r="M8" s="1">
        <v>752.72511506962201</v>
      </c>
      <c r="N8" s="1">
        <v>2.5465821158286425E-2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 x14ac:dyDescent="0.25">
      <c r="A9" s="46">
        <v>14</v>
      </c>
      <c r="B9" s="46">
        <v>8</v>
      </c>
      <c r="C9" s="46" t="s">
        <v>137</v>
      </c>
      <c r="D9" s="47" t="s">
        <v>143</v>
      </c>
      <c r="E9" s="47">
        <v>123456</v>
      </c>
      <c r="F9" s="47">
        <v>4</v>
      </c>
      <c r="G9" s="47">
        <v>29250</v>
      </c>
      <c r="H9" s="47">
        <v>27963.71397199441</v>
      </c>
      <c r="I9" s="47">
        <v>21.192077217047988</v>
      </c>
      <c r="J9" s="47">
        <v>14.347408680953924</v>
      </c>
      <c r="K9" s="1">
        <v>21.408504837472453</v>
      </c>
      <c r="L9" s="1">
        <v>14.526349139160796</v>
      </c>
      <c r="M9" s="1">
        <v>614.95511263800483</v>
      </c>
      <c r="N9" s="1">
        <v>2.076579976677969E-2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 x14ac:dyDescent="0.25">
      <c r="A10" s="46">
        <v>17</v>
      </c>
      <c r="B10" s="46">
        <v>9</v>
      </c>
      <c r="C10" s="46" t="s">
        <v>137</v>
      </c>
      <c r="D10" s="47" t="s">
        <v>143</v>
      </c>
      <c r="E10" s="47">
        <v>123456</v>
      </c>
      <c r="F10" s="47">
        <v>4</v>
      </c>
      <c r="G10" s="47">
        <v>29250</v>
      </c>
      <c r="H10" s="47">
        <v>27170.583068034903</v>
      </c>
      <c r="I10" s="47">
        <v>20.423279419668535</v>
      </c>
      <c r="J10" s="47">
        <v>13.338649549714466</v>
      </c>
      <c r="K10" s="1">
        <v>20.842837141332986</v>
      </c>
      <c r="L10" s="1">
        <v>13.483004464595449</v>
      </c>
      <c r="M10" s="1">
        <v>621.77536026224652</v>
      </c>
      <c r="N10" s="1">
        <v>4.8464398601610276E-3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 x14ac:dyDescent="0.25">
      <c r="A11" s="46">
        <v>18</v>
      </c>
      <c r="B11" s="46">
        <v>10</v>
      </c>
      <c r="C11" s="46" t="s">
        <v>137</v>
      </c>
      <c r="D11" s="47" t="s">
        <v>143</v>
      </c>
      <c r="E11" s="47">
        <v>123456</v>
      </c>
      <c r="F11" s="47">
        <v>4</v>
      </c>
      <c r="G11" s="47">
        <v>29250</v>
      </c>
      <c r="H11" s="47">
        <v>29315.370381236287</v>
      </c>
      <c r="I11" s="47">
        <v>18.764753635721952</v>
      </c>
      <c r="J11" s="47">
        <v>13.77474465608725</v>
      </c>
      <c r="K11" s="1">
        <v>19.162240575050046</v>
      </c>
      <c r="L11" s="1">
        <v>14.096755472674877</v>
      </c>
      <c r="M11" s="1">
        <v>736.05792761887881</v>
      </c>
      <c r="N11" s="1">
        <v>6.0699043749674305E-3</v>
      </c>
      <c r="O11" s="1">
        <v>28062.138832967943</v>
      </c>
      <c r="P11" s="1">
        <v>30358.453636780479</v>
      </c>
      <c r="Q11" s="1">
        <v>31361.045552111678</v>
      </c>
      <c r="R11" s="1">
        <v>25765.824029155407</v>
      </c>
      <c r="S11" s="1">
        <v>24763.232113824208</v>
      </c>
      <c r="T11" s="1">
        <v>30092.338008848437</v>
      </c>
      <c r="U11" s="1">
        <v>31107.437596788681</v>
      </c>
      <c r="V11" s="1">
        <v>26031.939657087449</v>
      </c>
      <c r="W11" s="1">
        <v>25016.840069147205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x14ac:dyDescent="0.25">
      <c r="A12" s="46">
        <v>21</v>
      </c>
      <c r="B12" s="46">
        <v>11</v>
      </c>
      <c r="C12" s="46" t="s">
        <v>137</v>
      </c>
      <c r="D12" s="47" t="s">
        <v>143</v>
      </c>
      <c r="E12" s="47">
        <v>123456</v>
      </c>
      <c r="F12" s="47">
        <v>4</v>
      </c>
      <c r="G12" s="47">
        <v>29250</v>
      </c>
      <c r="H12" s="47">
        <v>27096.688211844124</v>
      </c>
      <c r="I12" s="47">
        <v>24.403220706900434</v>
      </c>
      <c r="J12" s="47">
        <v>12.623923303423012</v>
      </c>
      <c r="K12" s="1">
        <v>24.500373772616008</v>
      </c>
      <c r="L12" s="1">
        <v>12.857637633411525</v>
      </c>
      <c r="M12" s="1">
        <v>703.39070960817207</v>
      </c>
      <c r="N12" s="1">
        <v>1.3887831997418623E-2</v>
      </c>
      <c r="O12" s="1">
        <v>27974.370594683962</v>
      </c>
      <c r="P12" s="1">
        <v>30215.971696055316</v>
      </c>
      <c r="Q12" s="1">
        <v>31162.791777300663</v>
      </c>
      <c r="R12" s="1">
        <v>25732.769493312608</v>
      </c>
      <c r="S12" s="1">
        <v>24785.949412067261</v>
      </c>
      <c r="T12" s="1">
        <v>30092.338008848437</v>
      </c>
      <c r="U12" s="1">
        <v>31107.437596788681</v>
      </c>
      <c r="V12" s="1">
        <v>26031.939657087449</v>
      </c>
      <c r="W12" s="1">
        <v>25016.840069147205</v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 x14ac:dyDescent="0.25">
      <c r="A13" s="46">
        <v>22</v>
      </c>
      <c r="B13" s="46">
        <v>12</v>
      </c>
      <c r="C13" s="46" t="s">
        <v>137</v>
      </c>
      <c r="D13" s="47" t="s">
        <v>143</v>
      </c>
      <c r="E13" s="47">
        <v>123456</v>
      </c>
      <c r="F13" s="47">
        <v>4</v>
      </c>
      <c r="G13" s="47">
        <v>29250</v>
      </c>
      <c r="H13" s="47">
        <v>28757.423969064857</v>
      </c>
      <c r="I13" s="47">
        <v>18.979809286873198</v>
      </c>
      <c r="J13" s="47">
        <v>13.944951216069132</v>
      </c>
      <c r="K13" s="1">
        <v>18.990206069083577</v>
      </c>
      <c r="L13" s="1">
        <v>14.211022852961875</v>
      </c>
      <c r="M13" s="1">
        <v>779.04187035749158</v>
      </c>
      <c r="N13" s="1">
        <v>1.5564128425886947E-2</v>
      </c>
      <c r="O13" s="1">
        <v>28039.625042549033</v>
      </c>
      <c r="P13" s="1">
        <v>30208.692434179691</v>
      </c>
      <c r="Q13" s="1">
        <v>31100.392447854851</v>
      </c>
      <c r="R13" s="1">
        <v>25870.557650918374</v>
      </c>
      <c r="S13" s="1">
        <v>24978.857637243214</v>
      </c>
      <c r="T13" s="1">
        <v>30092.338008848437</v>
      </c>
      <c r="U13" s="1">
        <v>31107.437596788681</v>
      </c>
      <c r="V13" s="1">
        <v>26031.939657087449</v>
      </c>
      <c r="W13" s="1">
        <v>25016.840069147205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x14ac:dyDescent="0.25">
      <c r="A14" s="46">
        <v>25</v>
      </c>
      <c r="B14" s="46">
        <v>13</v>
      </c>
      <c r="C14" s="46" t="s">
        <v>137</v>
      </c>
      <c r="D14" s="47" t="s">
        <v>143</v>
      </c>
      <c r="E14" s="47">
        <v>123456</v>
      </c>
      <c r="F14" s="47">
        <v>4</v>
      </c>
      <c r="G14" s="47">
        <v>29250</v>
      </c>
      <c r="H14" s="47">
        <v>27139.085405984053</v>
      </c>
      <c r="I14" s="47">
        <v>19.576767430094097</v>
      </c>
      <c r="J14" s="47">
        <v>13.674693405835413</v>
      </c>
      <c r="K14" s="1">
        <v>20.072667584616575</v>
      </c>
      <c r="L14" s="1">
        <v>13.690273699365591</v>
      </c>
      <c r="M14" s="1">
        <v>708.98462122139233</v>
      </c>
      <c r="N14" s="1">
        <v>2.8102224176040993E-2</v>
      </c>
      <c r="O14" s="1">
        <v>27970.352762813269</v>
      </c>
      <c r="P14" s="1">
        <v>30096.962972538135</v>
      </c>
      <c r="Q14" s="1">
        <v>30951.708016630026</v>
      </c>
      <c r="R14" s="1">
        <v>25843.742553088403</v>
      </c>
      <c r="S14" s="1">
        <v>24988.997508996512</v>
      </c>
      <c r="T14" s="1">
        <v>30092.338008848437</v>
      </c>
      <c r="U14" s="1">
        <v>31107.437596788681</v>
      </c>
      <c r="V14" s="1">
        <v>26031.939657087449</v>
      </c>
      <c r="W14" s="1">
        <v>25016.840069147205</v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 x14ac:dyDescent="0.25">
      <c r="A15" s="46">
        <v>26</v>
      </c>
      <c r="B15" s="46">
        <v>14</v>
      </c>
      <c r="C15" s="46" t="s">
        <v>137</v>
      </c>
      <c r="D15" s="47" t="s">
        <v>143</v>
      </c>
      <c r="E15" s="47">
        <v>123456</v>
      </c>
      <c r="F15" s="47">
        <v>4</v>
      </c>
      <c r="G15" s="47">
        <v>29250</v>
      </c>
      <c r="H15" s="47">
        <v>30500</v>
      </c>
      <c r="I15" s="47">
        <v>19.576767430094097</v>
      </c>
      <c r="J15" s="47">
        <v>13.22145681019003</v>
      </c>
      <c r="K15" s="1">
        <v>20.072667584616575</v>
      </c>
      <c r="L15" s="1">
        <v>13.690273699365591</v>
      </c>
      <c r="M15" s="1">
        <v>774.82272083583939</v>
      </c>
      <c r="N15" s="1">
        <v>1.4414059395817099E-2</v>
      </c>
      <c r="O15" s="1">
        <v>28151.041851183749</v>
      </c>
      <c r="P15" s="1">
        <v>30648.538357794281</v>
      </c>
      <c r="Q15" s="1">
        <v>31633.386571209332</v>
      </c>
      <c r="R15" s="1">
        <v>25653.545344573216</v>
      </c>
      <c r="S15" s="1">
        <v>24668.697131158166</v>
      </c>
      <c r="T15" s="1">
        <v>30092.338008848437</v>
      </c>
      <c r="U15" s="1">
        <v>31107.437596788681</v>
      </c>
      <c r="V15" s="1">
        <v>26031.939657087449</v>
      </c>
      <c r="W15" s="1">
        <v>25016.840069147205</v>
      </c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 x14ac:dyDescent="0.25">
      <c r="A16" s="46">
        <v>29</v>
      </c>
      <c r="B16" s="46">
        <v>15</v>
      </c>
      <c r="C16" s="46" t="s">
        <v>137</v>
      </c>
      <c r="D16" s="47" t="s">
        <v>143</v>
      </c>
      <c r="E16" s="47">
        <v>123456</v>
      </c>
      <c r="F16" s="47">
        <v>4</v>
      </c>
      <c r="G16" s="47">
        <v>29250</v>
      </c>
      <c r="H16" s="47">
        <v>29625.605667920867</v>
      </c>
      <c r="I16" s="47">
        <v>23.021721466622189</v>
      </c>
      <c r="J16" s="47">
        <v>14.206360261454973</v>
      </c>
      <c r="K16" s="1">
        <v>23.309868422870032</v>
      </c>
      <c r="L16" s="1">
        <v>14.361965539662062</v>
      </c>
      <c r="M16" s="1">
        <v>799.67357056606249</v>
      </c>
      <c r="N16" s="1">
        <v>1.4956213161376172E-2</v>
      </c>
      <c r="O16" s="1">
        <v>28249.346105632889</v>
      </c>
      <c r="P16" s="1">
        <v>30774.324850515623</v>
      </c>
      <c r="Q16" s="1">
        <v>31753.873932799735</v>
      </c>
      <c r="R16" s="1">
        <v>25724.367360750155</v>
      </c>
      <c r="S16" s="1">
        <v>24744.818278466042</v>
      </c>
      <c r="T16" s="1">
        <v>30092.338008848437</v>
      </c>
      <c r="U16" s="1">
        <v>31107.437596788681</v>
      </c>
      <c r="V16" s="1">
        <v>26031.939657087449</v>
      </c>
      <c r="W16" s="1">
        <v>25016.840069147205</v>
      </c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 x14ac:dyDescent="0.25">
      <c r="A17" s="46">
        <v>30</v>
      </c>
      <c r="B17" s="46">
        <v>16</v>
      </c>
      <c r="C17" s="46" t="s">
        <v>137</v>
      </c>
      <c r="D17" s="47" t="s">
        <v>143</v>
      </c>
      <c r="E17" s="47">
        <v>123456</v>
      </c>
      <c r="F17" s="47">
        <v>4</v>
      </c>
      <c r="G17" s="47">
        <v>29250</v>
      </c>
      <c r="H17" s="47">
        <v>28667.729086724892</v>
      </c>
      <c r="I17" s="47">
        <v>19.221111051388828</v>
      </c>
      <c r="J17" s="47">
        <v>13.169367721985363</v>
      </c>
      <c r="K17" s="1">
        <v>19.300967446561312</v>
      </c>
      <c r="L17" s="1">
        <v>13.46495270974374</v>
      </c>
      <c r="M17" s="1">
        <v>623.18993085464331</v>
      </c>
      <c r="N17" s="1">
        <v>4.6332767621299238E-3</v>
      </c>
      <c r="O17" s="1">
        <v>28275.495041951137</v>
      </c>
      <c r="P17" s="1">
        <v>30709.917101636467</v>
      </c>
      <c r="Q17" s="1">
        <v>31641.065135803456</v>
      </c>
      <c r="R17" s="1">
        <v>25841.072982265807</v>
      </c>
      <c r="S17" s="1">
        <v>24909.924948098818</v>
      </c>
      <c r="T17" s="1">
        <v>30092.338008848437</v>
      </c>
      <c r="U17" s="1">
        <v>31107.437596788681</v>
      </c>
      <c r="V17" s="1">
        <v>26031.939657087449</v>
      </c>
      <c r="W17" s="1">
        <v>25016.840069147205</v>
      </c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 x14ac:dyDescent="0.25">
      <c r="A18" s="46">
        <v>33</v>
      </c>
      <c r="B18" s="46">
        <v>17</v>
      </c>
      <c r="C18" s="46" t="s">
        <v>137</v>
      </c>
      <c r="D18" s="47" t="s">
        <v>143</v>
      </c>
      <c r="E18" s="47">
        <v>123456</v>
      </c>
      <c r="F18" s="47">
        <v>4</v>
      </c>
      <c r="G18" s="47">
        <v>29250</v>
      </c>
      <c r="H18" s="47">
        <v>29397.169393991189</v>
      </c>
      <c r="I18" s="47">
        <v>18.000848266561906</v>
      </c>
      <c r="J18" s="47">
        <v>12.203735786565238</v>
      </c>
      <c r="K18" s="1">
        <v>18.49645566138226</v>
      </c>
      <c r="L18" s="1">
        <v>12.511932475124906</v>
      </c>
      <c r="M18" s="1">
        <v>781.84425611456936</v>
      </c>
      <c r="N18" s="1">
        <v>1.6743209827637065E-2</v>
      </c>
      <c r="O18" s="1">
        <v>28341.475886188786</v>
      </c>
      <c r="P18" s="1">
        <v>30755.722177538762</v>
      </c>
      <c r="Q18" s="1">
        <v>31667.797209303229</v>
      </c>
      <c r="R18" s="1">
        <v>25927.229594838809</v>
      </c>
      <c r="S18" s="1">
        <v>25015.154563074342</v>
      </c>
      <c r="T18" s="1">
        <v>30092.338008848437</v>
      </c>
      <c r="U18" s="1">
        <v>31107.437596788681</v>
      </c>
      <c r="V18" s="1">
        <v>26031.939657087449</v>
      </c>
      <c r="W18" s="1">
        <v>25016.840069147205</v>
      </c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 x14ac:dyDescent="0.25">
      <c r="A19" s="46">
        <v>34</v>
      </c>
      <c r="B19" s="46">
        <v>18</v>
      </c>
      <c r="C19" s="46" t="s">
        <v>137</v>
      </c>
      <c r="D19" s="47" t="s">
        <v>143</v>
      </c>
      <c r="E19" s="47">
        <v>123456</v>
      </c>
      <c r="F19" s="47">
        <v>4</v>
      </c>
      <c r="G19" s="47">
        <v>29250</v>
      </c>
      <c r="H19" s="47">
        <v>28176.927910760594</v>
      </c>
      <c r="I19" s="47">
        <v>22.070378911752762</v>
      </c>
      <c r="J19" s="47">
        <v>14.420113743838838</v>
      </c>
      <c r="K19" s="1">
        <v>22.478166568881086</v>
      </c>
      <c r="L19" s="1">
        <v>14.806871420661736</v>
      </c>
      <c r="M19" s="1">
        <v>750.61031505596611</v>
      </c>
      <c r="N19" s="1">
        <v>2.8441204065255844E-2</v>
      </c>
      <c r="O19" s="1">
        <v>28332.334331998329</v>
      </c>
      <c r="P19" s="1">
        <v>30664.785500979815</v>
      </c>
      <c r="Q19" s="1">
        <v>31536.396921460109</v>
      </c>
      <c r="R19" s="1">
        <v>25999.883163016842</v>
      </c>
      <c r="S19" s="1">
        <v>25128.271742536548</v>
      </c>
      <c r="T19" s="1">
        <v>30092.338008848437</v>
      </c>
      <c r="U19" s="1">
        <v>31107.437596788681</v>
      </c>
      <c r="V19" s="1">
        <v>26031.939657087449</v>
      </c>
      <c r="W19" s="1">
        <v>25016.840069147205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 x14ac:dyDescent="0.25">
      <c r="A20" s="46">
        <v>37</v>
      </c>
      <c r="B20" s="46">
        <v>19</v>
      </c>
      <c r="C20" s="46" t="s">
        <v>137</v>
      </c>
      <c r="D20" s="47" t="s">
        <v>143</v>
      </c>
      <c r="E20" s="47">
        <v>123456</v>
      </c>
      <c r="F20" s="47">
        <v>4</v>
      </c>
      <c r="G20" s="47">
        <v>29250</v>
      </c>
      <c r="H20" s="47">
        <v>29984.380776019025</v>
      </c>
      <c r="I20" s="47">
        <v>20.54666565840343</v>
      </c>
      <c r="J20" s="47">
        <v>13.582053860144494</v>
      </c>
      <c r="K20" s="1">
        <v>20.593421236710586</v>
      </c>
      <c r="L20" s="1">
        <v>13.815163393132416</v>
      </c>
      <c r="M20" s="1">
        <v>772.74040977975437</v>
      </c>
      <c r="N20" s="1">
        <v>2.111798126990105E-2</v>
      </c>
      <c r="O20" s="1">
        <v>28419.284144841527</v>
      </c>
      <c r="P20" s="1">
        <v>30812.794826001649</v>
      </c>
      <c r="Q20" s="1">
        <v>31698.595744520404</v>
      </c>
      <c r="R20" s="1">
        <v>26025.773463681406</v>
      </c>
      <c r="S20" s="1">
        <v>25139.972545162651</v>
      </c>
      <c r="T20" s="1">
        <v>30092.338008848437</v>
      </c>
      <c r="U20" s="1">
        <v>31107.437596788681</v>
      </c>
      <c r="V20" s="1">
        <v>26031.939657087449</v>
      </c>
      <c r="W20" s="1">
        <v>25016.840069147205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 x14ac:dyDescent="0.25">
      <c r="A21" s="46">
        <v>38</v>
      </c>
      <c r="B21" s="46">
        <v>20</v>
      </c>
      <c r="C21" s="46" t="s">
        <v>137</v>
      </c>
      <c r="D21" s="47" t="s">
        <v>143</v>
      </c>
      <c r="E21" s="47">
        <v>123456</v>
      </c>
      <c r="F21" s="47">
        <v>4</v>
      </c>
      <c r="G21" s="47">
        <v>29250</v>
      </c>
      <c r="H21" s="47">
        <v>28758.670708685888</v>
      </c>
      <c r="I21" s="47">
        <v>22.436651002648983</v>
      </c>
      <c r="J21" s="47">
        <v>13.678929672193084</v>
      </c>
      <c r="K21" s="1">
        <v>22.607354597407305</v>
      </c>
      <c r="L21" s="1">
        <v>14.011410531641737</v>
      </c>
      <c r="M21" s="1">
        <v>662.05897632436654</v>
      </c>
      <c r="N21" s="1">
        <v>1.2982360815230755E-2</v>
      </c>
      <c r="O21" s="1">
        <v>28436.253473033743</v>
      </c>
      <c r="P21" s="1">
        <v>30762.59666233711</v>
      </c>
      <c r="Q21" s="1">
        <v>31616.109778447113</v>
      </c>
      <c r="R21" s="1">
        <v>26109.910283730376</v>
      </c>
      <c r="S21" s="1">
        <v>25256.397167620373</v>
      </c>
      <c r="T21" s="1">
        <v>30092.338008848437</v>
      </c>
      <c r="U21" s="1">
        <v>31107.437596788681</v>
      </c>
      <c r="V21" s="1">
        <v>26031.939657087449</v>
      </c>
      <c r="W21" s="1">
        <v>25016.840069147205</v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 x14ac:dyDescent="0.25">
      <c r="A22" s="46">
        <v>41</v>
      </c>
      <c r="B22" s="46">
        <v>21</v>
      </c>
      <c r="C22" s="46" t="s">
        <v>137</v>
      </c>
      <c r="D22" s="47" t="s">
        <v>143</v>
      </c>
      <c r="E22" s="47">
        <v>123456</v>
      </c>
      <c r="F22" s="47">
        <v>4</v>
      </c>
      <c r="G22" s="47">
        <v>29250</v>
      </c>
      <c r="H22" s="47">
        <v>28906.405106174414</v>
      </c>
      <c r="I22" s="47">
        <v>22.03631552207856</v>
      </c>
      <c r="J22" s="47">
        <v>13.943500164763336</v>
      </c>
      <c r="K22" s="1">
        <v>22.267872648075567</v>
      </c>
      <c r="L22" s="1">
        <v>14.219888609886221</v>
      </c>
      <c r="M22" s="1">
        <v>717.10787506657971</v>
      </c>
      <c r="N22" s="1">
        <v>2.1426827250015709E-2</v>
      </c>
      <c r="O22" s="1">
        <v>28458.641646040443</v>
      </c>
      <c r="P22" s="1">
        <v>30728.542702328868</v>
      </c>
      <c r="Q22" s="1">
        <v>31554.879799785864</v>
      </c>
      <c r="R22" s="1">
        <v>26188.740589752018</v>
      </c>
      <c r="S22" s="1">
        <v>25362.403492295023</v>
      </c>
      <c r="T22" s="1">
        <v>30092.338008848437</v>
      </c>
      <c r="U22" s="1">
        <v>31107.437596788681</v>
      </c>
      <c r="V22" s="1">
        <v>26031.939657087449</v>
      </c>
      <c r="W22" s="1">
        <v>25016.840069147205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 x14ac:dyDescent="0.25">
      <c r="A23" s="46">
        <v>42</v>
      </c>
      <c r="B23" s="46">
        <v>22</v>
      </c>
      <c r="C23" s="46" t="s">
        <v>137</v>
      </c>
      <c r="D23" s="47" t="s">
        <v>143</v>
      </c>
      <c r="E23" s="47">
        <v>123456</v>
      </c>
      <c r="F23" s="47">
        <v>4</v>
      </c>
      <c r="G23" s="47">
        <v>29250</v>
      </c>
      <c r="H23" s="47">
        <v>28632.475664113121</v>
      </c>
      <c r="I23" s="47">
        <v>18.969907095723883</v>
      </c>
      <c r="J23" s="47">
        <v>11.868614335149864</v>
      </c>
      <c r="K23" s="1">
        <v>19.162636523479122</v>
      </c>
      <c r="L23" s="1">
        <v>12.131595389801873</v>
      </c>
      <c r="M23" s="1">
        <v>775.06991652765737</v>
      </c>
      <c r="N23" s="1">
        <v>6.519158274552737E-3</v>
      </c>
      <c r="O23" s="1">
        <v>28466.543192316472</v>
      </c>
      <c r="P23" s="1">
        <v>30676.341317880233</v>
      </c>
      <c r="Q23" s="1">
        <v>31475.146476997761</v>
      </c>
      <c r="R23" s="1">
        <v>26256.745066752712</v>
      </c>
      <c r="S23" s="1">
        <v>25457.939907635184</v>
      </c>
      <c r="T23" s="1">
        <v>30092.338008848437</v>
      </c>
      <c r="U23" s="1">
        <v>31107.437596788681</v>
      </c>
      <c r="V23" s="1">
        <v>26031.939657087449</v>
      </c>
      <c r="W23" s="1">
        <v>25016.840069147205</v>
      </c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 x14ac:dyDescent="0.25">
      <c r="A24" s="46">
        <v>45</v>
      </c>
      <c r="B24" s="46">
        <v>23</v>
      </c>
      <c r="C24" s="46" t="s">
        <v>137</v>
      </c>
      <c r="D24" s="47" t="s">
        <v>143</v>
      </c>
      <c r="E24" s="47">
        <v>123456</v>
      </c>
      <c r="F24" s="47">
        <v>4</v>
      </c>
      <c r="G24" s="47">
        <v>29250</v>
      </c>
      <c r="H24" s="47">
        <v>28100.1599203814</v>
      </c>
      <c r="I24" s="47">
        <v>23.87933968255437</v>
      </c>
      <c r="J24" s="47">
        <v>14.439472386459295</v>
      </c>
      <c r="K24" s="1">
        <v>24.327471506787532</v>
      </c>
      <c r="L24" s="1">
        <v>14.748046674574883</v>
      </c>
      <c r="M24" s="1">
        <v>631.38098948696643</v>
      </c>
      <c r="N24" s="1">
        <v>1.7382090062777807E-2</v>
      </c>
      <c r="O24" s="1">
        <v>28450.613484841033</v>
      </c>
      <c r="P24" s="1">
        <v>30609.46654060129</v>
      </c>
      <c r="Q24" s="1">
        <v>31384.872205419095</v>
      </c>
      <c r="R24" s="1">
        <v>26291.760429080776</v>
      </c>
      <c r="S24" s="1">
        <v>25516.354764262971</v>
      </c>
      <c r="T24" s="1">
        <v>30092.338008848437</v>
      </c>
      <c r="U24" s="1">
        <v>31107.437596788681</v>
      </c>
      <c r="V24" s="1">
        <v>26031.939657087449</v>
      </c>
      <c r="W24" s="1">
        <v>25016.840069147205</v>
      </c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 x14ac:dyDescent="0.25">
      <c r="A25" s="46">
        <v>46</v>
      </c>
      <c r="B25" s="46">
        <v>24</v>
      </c>
      <c r="C25" s="46" t="s">
        <v>137</v>
      </c>
      <c r="D25" s="47" t="s">
        <v>143</v>
      </c>
      <c r="E25" s="47">
        <v>123456</v>
      </c>
      <c r="F25" s="47">
        <v>4</v>
      </c>
      <c r="G25" s="47">
        <v>29250</v>
      </c>
      <c r="H25" s="47">
        <v>30000</v>
      </c>
      <c r="I25" s="47">
        <v>21.535071910671846</v>
      </c>
      <c r="J25" s="47">
        <v>12.200707009805413</v>
      </c>
      <c r="K25" s="1">
        <v>21.576073601988369</v>
      </c>
      <c r="L25" s="1">
        <v>12.589538553075498</v>
      </c>
      <c r="M25" s="1">
        <v>619.92866295244642</v>
      </c>
      <c r="N25" s="1">
        <v>6.1154567582964404E-3</v>
      </c>
      <c r="O25" s="1">
        <v>28515.171256305988</v>
      </c>
      <c r="P25" s="1">
        <v>30720.5412274802</v>
      </c>
      <c r="Q25" s="1">
        <v>31508.036670480556</v>
      </c>
      <c r="R25" s="1">
        <v>26309.801285131776</v>
      </c>
      <c r="S25" s="1">
        <v>25522.30584213142</v>
      </c>
      <c r="T25" s="1">
        <v>30092.338008848437</v>
      </c>
      <c r="U25" s="1">
        <v>31107.437596788681</v>
      </c>
      <c r="V25" s="1">
        <v>26031.939657087449</v>
      </c>
      <c r="W25" s="1">
        <v>25016.840069147205</v>
      </c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 x14ac:dyDescent="0.25">
      <c r="A26" s="46">
        <v>47</v>
      </c>
      <c r="B26" s="46">
        <v>25</v>
      </c>
      <c r="C26" s="46" t="s">
        <v>137</v>
      </c>
      <c r="D26" s="47" t="s">
        <v>143</v>
      </c>
      <c r="E26" s="47">
        <v>123456</v>
      </c>
      <c r="F26" s="47">
        <v>4</v>
      </c>
      <c r="G26" s="47">
        <v>29250</v>
      </c>
      <c r="H26" s="47">
        <v>27019.453237761732</v>
      </c>
      <c r="I26" s="47">
        <v>21.121512693937269</v>
      </c>
      <c r="J26" s="47">
        <v>12.367482652360955</v>
      </c>
      <c r="K26" s="1">
        <v>21.235257233045292</v>
      </c>
      <c r="L26" s="1">
        <v>12.638102300861311</v>
      </c>
      <c r="M26" s="1">
        <v>623.98333780407438</v>
      </c>
      <c r="N26" s="1">
        <v>1.5012539604170481E-2</v>
      </c>
      <c r="O26" s="1">
        <v>28455.342535564221</v>
      </c>
      <c r="P26" s="1">
        <v>30696.049694129943</v>
      </c>
      <c r="Q26" s="1">
        <v>31491.888268451308</v>
      </c>
      <c r="R26" s="1">
        <v>26214.6353769985</v>
      </c>
      <c r="S26" s="1">
        <v>25418.796802677134</v>
      </c>
      <c r="T26" s="1">
        <v>30092.338008848437</v>
      </c>
      <c r="U26" s="1">
        <v>31107.437596788681</v>
      </c>
      <c r="V26" s="1">
        <v>26031.939657087449</v>
      </c>
      <c r="W26" s="1">
        <v>25016.840069147205</v>
      </c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 x14ac:dyDescent="0.25">
      <c r="A27" s="46">
        <v>50</v>
      </c>
      <c r="B27" s="46">
        <v>26</v>
      </c>
      <c r="C27" s="46" t="s">
        <v>137</v>
      </c>
      <c r="D27" s="47" t="s">
        <v>143</v>
      </c>
      <c r="E27" s="47">
        <v>123456</v>
      </c>
      <c r="F27" s="47">
        <v>4</v>
      </c>
      <c r="G27" s="47">
        <v>29250</v>
      </c>
      <c r="H27" s="47">
        <v>26799.858997599804</v>
      </c>
      <c r="I27" s="47">
        <v>19.310111034387059</v>
      </c>
      <c r="J27" s="47">
        <v>13.047450110436579</v>
      </c>
      <c r="K27" s="1">
        <v>19.74068460935522</v>
      </c>
      <c r="L27" s="1">
        <v>13.423234164703274</v>
      </c>
      <c r="M27" s="1">
        <v>719.52943923268208</v>
      </c>
      <c r="N27" s="1">
        <v>1.8837669871664648E-2</v>
      </c>
      <c r="O27" s="1">
        <v>28391.670091796357</v>
      </c>
      <c r="P27" s="1">
        <v>30682.239213311386</v>
      </c>
      <c r="Q27" s="1">
        <v>31491.788996819058</v>
      </c>
      <c r="R27" s="1">
        <v>26101.100970281328</v>
      </c>
      <c r="S27" s="1">
        <v>25291.551186773657</v>
      </c>
      <c r="T27" s="1">
        <v>30092.338008848437</v>
      </c>
      <c r="U27" s="1">
        <v>31107.437596788681</v>
      </c>
      <c r="V27" s="1">
        <v>26031.939657087449</v>
      </c>
      <c r="W27" s="1">
        <v>25016.840069147205</v>
      </c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 x14ac:dyDescent="0.25">
      <c r="A28" s="46">
        <v>51</v>
      </c>
      <c r="B28" s="46">
        <v>27</v>
      </c>
      <c r="C28" s="46" t="s">
        <v>137</v>
      </c>
      <c r="D28" s="47" t="s">
        <v>143</v>
      </c>
      <c r="E28" s="47">
        <v>123456</v>
      </c>
      <c r="F28" s="47">
        <v>4</v>
      </c>
      <c r="G28" s="47">
        <v>29250</v>
      </c>
      <c r="H28" s="47">
        <v>28886.790652814507</v>
      </c>
      <c r="I28" s="47">
        <v>18.163976270123243</v>
      </c>
      <c r="J28" s="47">
        <v>13.710576466497047</v>
      </c>
      <c r="K28" s="1">
        <v>18.269018379037306</v>
      </c>
      <c r="L28" s="1">
        <v>13.864311667622772</v>
      </c>
      <c r="M28" s="1">
        <v>734.77054468376355</v>
      </c>
      <c r="N28" s="1">
        <v>2.8105430189479873E-2</v>
      </c>
      <c r="O28" s="1">
        <v>28410.007890352586</v>
      </c>
      <c r="P28" s="1">
        <v>30660.263665538718</v>
      </c>
      <c r="Q28" s="1">
        <v>31451.958206737774</v>
      </c>
      <c r="R28" s="1">
        <v>26159.752115166455</v>
      </c>
      <c r="S28" s="1">
        <v>25368.057573967399</v>
      </c>
      <c r="T28" s="1">
        <v>30092.338008848437</v>
      </c>
      <c r="U28" s="1">
        <v>31107.437596788681</v>
      </c>
      <c r="V28" s="1">
        <v>26031.939657087449</v>
      </c>
      <c r="W28" s="1">
        <v>25016.840069147205</v>
      </c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 x14ac:dyDescent="0.25">
      <c r="A29" s="46">
        <v>54</v>
      </c>
      <c r="B29" s="46">
        <v>28</v>
      </c>
      <c r="C29" s="46" t="s">
        <v>137</v>
      </c>
      <c r="D29" s="47" t="s">
        <v>143</v>
      </c>
      <c r="E29" s="47">
        <v>123456</v>
      </c>
      <c r="F29" s="47">
        <v>4</v>
      </c>
      <c r="G29" s="47">
        <v>29250</v>
      </c>
      <c r="H29" s="47">
        <v>29790.678369530087</v>
      </c>
      <c r="I29" s="47">
        <v>23.012460383857448</v>
      </c>
      <c r="J29" s="47">
        <v>14.319321879142706</v>
      </c>
      <c r="K29" s="1">
        <v>23.33854092936787</v>
      </c>
      <c r="L29" s="1">
        <v>14.680167967692245</v>
      </c>
      <c r="M29" s="1">
        <v>669.22304723125592</v>
      </c>
      <c r="N29" s="1">
        <v>2.6636920894944769E-2</v>
      </c>
      <c r="O29" s="1">
        <v>28459.317550323212</v>
      </c>
      <c r="P29" s="1">
        <v>30727.619588964255</v>
      </c>
      <c r="Q29" s="1">
        <v>31522.312154209489</v>
      </c>
      <c r="R29" s="1">
        <v>26191.01551168217</v>
      </c>
      <c r="S29" s="1">
        <v>25396.322946436936</v>
      </c>
      <c r="T29" s="1">
        <v>30092.338008848437</v>
      </c>
      <c r="U29" s="1">
        <v>31107.437596788681</v>
      </c>
      <c r="V29" s="1">
        <v>26031.939657087449</v>
      </c>
      <c r="W29" s="1">
        <v>25016.840069147205</v>
      </c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 x14ac:dyDescent="0.25">
      <c r="A30" s="46">
        <v>55</v>
      </c>
      <c r="B30" s="46">
        <v>29</v>
      </c>
      <c r="C30" s="46" t="s">
        <v>137</v>
      </c>
      <c r="D30" s="47" t="s">
        <v>143</v>
      </c>
      <c r="E30" s="47">
        <v>123456</v>
      </c>
      <c r="F30" s="47">
        <v>4</v>
      </c>
      <c r="G30" s="47">
        <v>29250</v>
      </c>
      <c r="H30" s="47">
        <v>29544.539797337966</v>
      </c>
      <c r="I30" s="47">
        <v>24.480907785229189</v>
      </c>
      <c r="J30" s="47">
        <v>13.067744174086156</v>
      </c>
      <c r="K30" s="1">
        <v>24.652201610833799</v>
      </c>
      <c r="L30" s="1">
        <v>13.311921958770707</v>
      </c>
      <c r="M30" s="1">
        <v>665.58902416132969</v>
      </c>
      <c r="N30" s="1">
        <v>2.30758410481956E-2</v>
      </c>
      <c r="O30" s="1">
        <v>28496.739007116827</v>
      </c>
      <c r="P30" s="1">
        <v>30758.44104942149</v>
      </c>
      <c r="Q30" s="1">
        <v>31547.732245435491</v>
      </c>
      <c r="R30" s="1">
        <v>26235.036964812163</v>
      </c>
      <c r="S30" s="1">
        <v>25445.745768798162</v>
      </c>
      <c r="T30" s="1">
        <v>30092.338008848437</v>
      </c>
      <c r="U30" s="1">
        <v>31107.437596788681</v>
      </c>
      <c r="V30" s="1">
        <v>26031.939657087449</v>
      </c>
      <c r="W30" s="1">
        <v>25016.840069147205</v>
      </c>
    </row>
    <row r="31" spans="1:76" x14ac:dyDescent="0.25">
      <c r="A31" s="46">
        <v>58</v>
      </c>
      <c r="B31" s="46">
        <v>30</v>
      </c>
      <c r="C31" s="46" t="s">
        <v>137</v>
      </c>
      <c r="D31" s="47" t="s">
        <v>143</v>
      </c>
      <c r="E31" s="47">
        <v>123456</v>
      </c>
      <c r="F31" s="47">
        <v>4</v>
      </c>
      <c r="G31" s="47">
        <v>29250</v>
      </c>
      <c r="H31" s="47">
        <v>29950.345623881982</v>
      </c>
      <c r="I31" s="47">
        <v>21.525191822523905</v>
      </c>
      <c r="J31" s="47">
        <v>13.307166853927004</v>
      </c>
      <c r="K31" s="1">
        <v>21.714990057439135</v>
      </c>
      <c r="L31" s="1">
        <v>13.643142789481654</v>
      </c>
      <c r="M31" s="1">
        <v>770.40326599025457</v>
      </c>
      <c r="N31" s="1">
        <v>9.4959989485093356E-3</v>
      </c>
      <c r="O31" s="1">
        <v>28545.192561009</v>
      </c>
      <c r="P31" s="1">
        <v>30829.533213700761</v>
      </c>
      <c r="Q31" s="1">
        <v>31623.831871015991</v>
      </c>
      <c r="R31" s="1">
        <v>26260.85190831724</v>
      </c>
      <c r="S31" s="1">
        <v>25466.553251002009</v>
      </c>
      <c r="T31" s="1">
        <v>30092.338008848437</v>
      </c>
      <c r="U31" s="1">
        <v>31107.437596788681</v>
      </c>
      <c r="V31" s="1">
        <v>26031.939657087449</v>
      </c>
      <c r="W31" s="1">
        <v>25016.840069147205</v>
      </c>
    </row>
    <row r="32" spans="1:76" x14ac:dyDescent="0.25">
      <c r="A32" s="46">
        <v>59</v>
      </c>
      <c r="B32" s="46">
        <v>31</v>
      </c>
      <c r="C32" s="46" t="s">
        <v>137</v>
      </c>
      <c r="D32" s="47" t="s">
        <v>143</v>
      </c>
      <c r="E32" s="47">
        <v>123456</v>
      </c>
      <c r="F32" s="47">
        <v>4</v>
      </c>
      <c r="G32" s="47">
        <v>29250</v>
      </c>
      <c r="H32" s="47">
        <v>28206.920304202122</v>
      </c>
      <c r="I32" s="47">
        <v>20.031165788116475</v>
      </c>
      <c r="J32" s="47">
        <v>14.488853609651041</v>
      </c>
      <c r="K32" s="1">
        <v>20.272910548998119</v>
      </c>
      <c r="L32" s="1">
        <v>14.5127071025371</v>
      </c>
      <c r="M32" s="1">
        <v>755.93868898712958</v>
      </c>
      <c r="N32" s="1">
        <v>1.323171580232394E-2</v>
      </c>
      <c r="O32" s="1">
        <v>28534.280552724907</v>
      </c>
      <c r="P32" s="1">
        <v>30780.408566120961</v>
      </c>
      <c r="Q32" s="1">
        <v>31558.775279242262</v>
      </c>
      <c r="R32" s="1">
        <v>26288.152539328854</v>
      </c>
      <c r="S32" s="1">
        <v>25509.785826207553</v>
      </c>
      <c r="T32" s="1">
        <v>30092.338008848437</v>
      </c>
      <c r="U32" s="1">
        <v>31107.437596788681</v>
      </c>
      <c r="V32" s="1">
        <v>26031.939657087449</v>
      </c>
      <c r="W32" s="1">
        <v>25016.840069147205</v>
      </c>
    </row>
    <row r="33" spans="1:23" x14ac:dyDescent="0.25">
      <c r="A33" s="46">
        <v>62</v>
      </c>
      <c r="B33" s="46">
        <v>32</v>
      </c>
      <c r="C33" s="46" t="s">
        <v>137</v>
      </c>
      <c r="D33" s="47" t="s">
        <v>143</v>
      </c>
      <c r="E33" s="47">
        <v>123456</v>
      </c>
      <c r="F33" s="47">
        <v>4</v>
      </c>
      <c r="G33" s="47">
        <v>29250</v>
      </c>
      <c r="H33" s="47">
        <v>28456.729955790546</v>
      </c>
      <c r="I33" s="47">
        <v>24.652666514646999</v>
      </c>
      <c r="J33" s="47">
        <v>13.591787772511148</v>
      </c>
      <c r="K33" s="1">
        <v>24.6956389061876</v>
      </c>
      <c r="L33" s="1">
        <v>13.917371295332222</v>
      </c>
      <c r="M33" s="1">
        <v>698.45941596190414</v>
      </c>
      <c r="N33" s="1">
        <v>5.7845444416356716E-3</v>
      </c>
      <c r="O33" s="1">
        <v>28531.857096570708</v>
      </c>
      <c r="P33" s="1">
        <v>30738.65233631686</v>
      </c>
      <c r="Q33" s="1">
        <v>31500.966545621875</v>
      </c>
      <c r="R33" s="1">
        <v>26325.061856824555</v>
      </c>
      <c r="S33" s="1">
        <v>25562.74764751954</v>
      </c>
      <c r="T33" s="1">
        <v>30092.338008848437</v>
      </c>
      <c r="U33" s="1">
        <v>31107.437596788681</v>
      </c>
      <c r="V33" s="1">
        <v>26031.939657087449</v>
      </c>
      <c r="W33" s="1">
        <v>25016.840069147205</v>
      </c>
    </row>
    <row r="34" spans="1:23" x14ac:dyDescent="0.25">
      <c r="A34" s="46">
        <v>63</v>
      </c>
      <c r="B34" s="46">
        <v>33</v>
      </c>
      <c r="C34" s="46" t="s">
        <v>137</v>
      </c>
      <c r="D34" s="47" t="s">
        <v>143</v>
      </c>
      <c r="E34" s="47">
        <v>123456</v>
      </c>
      <c r="F34" s="47">
        <v>4</v>
      </c>
      <c r="G34" s="47">
        <v>29250</v>
      </c>
      <c r="H34" s="47">
        <v>27773.706114524339</v>
      </c>
      <c r="I34" s="47">
        <v>24.583518715707054</v>
      </c>
      <c r="J34" s="47">
        <v>12.702489178245717</v>
      </c>
      <c r="K34" s="1">
        <v>24.694789081896737</v>
      </c>
      <c r="L34" s="1">
        <v>12.73963994223841</v>
      </c>
      <c r="M34" s="1">
        <v>618.11660605652162</v>
      </c>
      <c r="N34" s="1">
        <v>2.3166011378347146E-2</v>
      </c>
      <c r="O34" s="1">
        <v>28508.882824387485</v>
      </c>
      <c r="P34" s="1">
        <v>30694.769224702803</v>
      </c>
      <c r="Q34" s="1">
        <v>31447.618865144446</v>
      </c>
      <c r="R34" s="1">
        <v>26322.996424072167</v>
      </c>
      <c r="S34" s="1">
        <v>25570.146783630524</v>
      </c>
      <c r="T34" s="1">
        <v>30092.338008848437</v>
      </c>
      <c r="U34" s="1">
        <v>31107.437596788681</v>
      </c>
      <c r="V34" s="1">
        <v>26031.939657087449</v>
      </c>
      <c r="W34" s="1">
        <v>25016.840069147205</v>
      </c>
    </row>
    <row r="35" spans="1:23" x14ac:dyDescent="0.25">
      <c r="A35" s="46">
        <v>66</v>
      </c>
      <c r="B35" s="46">
        <v>34</v>
      </c>
      <c r="C35" s="46" t="s">
        <v>137</v>
      </c>
      <c r="D35" s="47" t="s">
        <v>143</v>
      </c>
      <c r="E35" s="47">
        <v>123456</v>
      </c>
      <c r="F35" s="47">
        <v>4</v>
      </c>
      <c r="G35" s="47">
        <v>29250</v>
      </c>
      <c r="H35" s="47">
        <v>27644.883637819206</v>
      </c>
      <c r="I35" s="47">
        <v>22.683473270199581</v>
      </c>
      <c r="J35" s="47">
        <v>14.52622123993118</v>
      </c>
      <c r="K35" s="1">
        <v>23.074858855387454</v>
      </c>
      <c r="L35" s="1">
        <v>14.994318298575079</v>
      </c>
      <c r="M35" s="1">
        <v>777.94073971068997</v>
      </c>
      <c r="N35" s="1">
        <v>1.3328161352608815E-2</v>
      </c>
      <c r="O35" s="1">
        <v>28483.471083606066</v>
      </c>
      <c r="P35" s="1">
        <v>30654.4604584099</v>
      </c>
      <c r="Q35" s="1">
        <v>31400.094299161377</v>
      </c>
      <c r="R35" s="1">
        <v>26312.481708802232</v>
      </c>
      <c r="S35" s="1">
        <v>25566.847868050754</v>
      </c>
      <c r="T35" s="1">
        <v>30092.338008848437</v>
      </c>
      <c r="U35" s="1">
        <v>31107.437596788681</v>
      </c>
      <c r="V35" s="1">
        <v>26031.939657087449</v>
      </c>
      <c r="W35" s="1">
        <v>25016.840069147205</v>
      </c>
    </row>
    <row r="36" spans="1:23" x14ac:dyDescent="0.25">
      <c r="A36" s="46">
        <v>67</v>
      </c>
      <c r="B36" s="46">
        <v>35</v>
      </c>
      <c r="C36" s="46" t="s">
        <v>137</v>
      </c>
      <c r="D36" s="47" t="s">
        <v>143</v>
      </c>
      <c r="E36" s="47">
        <v>123456</v>
      </c>
      <c r="F36" s="47">
        <v>4</v>
      </c>
      <c r="G36" s="47">
        <v>29250</v>
      </c>
      <c r="H36" s="47">
        <v>29372.026106211193</v>
      </c>
      <c r="I36" s="47">
        <v>21.668446341176747</v>
      </c>
      <c r="J36" s="47">
        <v>13.911096623887529</v>
      </c>
      <c r="K36" s="1">
        <v>21.69947435858316</v>
      </c>
      <c r="L36" s="1">
        <v>14.30585555903394</v>
      </c>
      <c r="M36" s="1">
        <v>697.28833461264946</v>
      </c>
      <c r="N36" s="1">
        <v>2.264111155701155E-2</v>
      </c>
      <c r="O36" s="1">
        <v>28508.858369966212</v>
      </c>
      <c r="P36" s="1">
        <v>30666.989616210125</v>
      </c>
      <c r="Q36" s="1">
        <v>31406.262254515543</v>
      </c>
      <c r="R36" s="1">
        <v>26350.727123722299</v>
      </c>
      <c r="S36" s="1">
        <v>25611.454485416882</v>
      </c>
      <c r="T36" s="1">
        <v>30092.338008848437</v>
      </c>
      <c r="U36" s="1">
        <v>31107.437596788681</v>
      </c>
      <c r="V36" s="1">
        <v>26031.939657087449</v>
      </c>
      <c r="W36" s="1">
        <v>25016.840069147205</v>
      </c>
    </row>
    <row r="37" spans="1:23" x14ac:dyDescent="0.25">
      <c r="A37" s="46">
        <v>70</v>
      </c>
      <c r="B37" s="46">
        <v>36</v>
      </c>
      <c r="C37" s="46" t="s">
        <v>137</v>
      </c>
      <c r="D37" s="47" t="s">
        <v>143</v>
      </c>
      <c r="E37" s="47">
        <v>123456</v>
      </c>
      <c r="F37" s="47">
        <v>4</v>
      </c>
      <c r="G37" s="47">
        <v>29250</v>
      </c>
      <c r="H37" s="47">
        <v>26783.063847046575</v>
      </c>
      <c r="I37" s="47">
        <v>19.993937595057691</v>
      </c>
      <c r="J37" s="47">
        <v>13.993695386781791</v>
      </c>
      <c r="K37" s="1">
        <v>20.037839178976451</v>
      </c>
      <c r="L37" s="1">
        <v>14.200113293076223</v>
      </c>
      <c r="M37" s="1">
        <v>659.2190461878223</v>
      </c>
      <c r="N37" s="1">
        <v>5.7917125526161404E-3</v>
      </c>
      <c r="O37" s="1">
        <v>28460.919633218447</v>
      </c>
      <c r="P37" s="1">
        <v>30664.534373559502</v>
      </c>
      <c r="Q37" s="1">
        <v>31417.520148234085</v>
      </c>
      <c r="R37" s="1">
        <v>26257.304892877393</v>
      </c>
      <c r="S37" s="1">
        <v>25504.319118202809</v>
      </c>
      <c r="T37" s="1">
        <v>30092.338008848437</v>
      </c>
      <c r="U37" s="1">
        <v>31107.437596788681</v>
      </c>
      <c r="V37" s="1">
        <v>26031.939657087449</v>
      </c>
      <c r="W37" s="1">
        <v>25016.840069147205</v>
      </c>
    </row>
    <row r="38" spans="1:23" x14ac:dyDescent="0.25">
      <c r="A38" s="46">
        <v>71</v>
      </c>
      <c r="B38" s="46">
        <v>37</v>
      </c>
      <c r="C38" s="46" t="s">
        <v>137</v>
      </c>
      <c r="D38" s="47" t="s">
        <v>143</v>
      </c>
      <c r="E38" s="47">
        <v>123456</v>
      </c>
      <c r="F38" s="47">
        <v>4</v>
      </c>
      <c r="G38" s="47">
        <v>29250</v>
      </c>
      <c r="H38" s="47">
        <v>28481.19461303571</v>
      </c>
      <c r="I38" s="47">
        <v>24.125486839928922</v>
      </c>
      <c r="J38" s="47">
        <v>13.645173322976401</v>
      </c>
      <c r="K38" s="1">
        <v>24.429060877289771</v>
      </c>
      <c r="L38" s="1">
        <v>13.850688856842201</v>
      </c>
      <c r="M38" s="1">
        <v>781.71052193097842</v>
      </c>
      <c r="N38" s="1">
        <v>1.4509613620043023E-2</v>
      </c>
      <c r="O38" s="1">
        <v>28461.467605645939</v>
      </c>
      <c r="P38" s="1">
        <v>30632.116092293312</v>
      </c>
      <c r="Q38" s="1">
        <v>31372.104486724114</v>
      </c>
      <c r="R38" s="1">
        <v>26290.819118998566</v>
      </c>
      <c r="S38" s="1">
        <v>25550.830724567764</v>
      </c>
      <c r="T38" s="1">
        <v>30092.338008848437</v>
      </c>
      <c r="U38" s="1">
        <v>31107.437596788681</v>
      </c>
      <c r="V38" s="1">
        <v>26031.939657087449</v>
      </c>
      <c r="W38" s="1">
        <v>25016.840069147205</v>
      </c>
    </row>
    <row r="39" spans="1:23" x14ac:dyDescent="0.25">
      <c r="A39" s="46">
        <v>74</v>
      </c>
      <c r="B39" s="46">
        <v>38</v>
      </c>
      <c r="C39" s="46" t="s">
        <v>137</v>
      </c>
      <c r="D39" s="47" t="s">
        <v>143</v>
      </c>
      <c r="E39" s="47">
        <v>123456</v>
      </c>
      <c r="F39" s="47">
        <v>4</v>
      </c>
      <c r="G39" s="47">
        <v>29250</v>
      </c>
      <c r="H39" s="47">
        <v>29666.418411316292</v>
      </c>
      <c r="I39" s="47">
        <v>22.472335074935568</v>
      </c>
      <c r="J39" s="47">
        <v>12.452494303961767</v>
      </c>
      <c r="K39" s="1">
        <v>22.650840637880414</v>
      </c>
      <c r="L39" s="1">
        <v>12.606494023193831</v>
      </c>
      <c r="M39" s="1">
        <v>794.75906281421521</v>
      </c>
      <c r="N39" s="1">
        <v>2.3555194717239769E-2</v>
      </c>
      <c r="O39" s="1">
        <v>28493.176837374107</v>
      </c>
      <c r="P39" s="1">
        <v>30668.640043584939</v>
      </c>
      <c r="Q39" s="1">
        <v>31408.631253152933</v>
      </c>
      <c r="R39" s="1">
        <v>26317.713631163275</v>
      </c>
      <c r="S39" s="1">
        <v>25577.722421595281</v>
      </c>
      <c r="T39" s="1">
        <v>30092.338008848437</v>
      </c>
      <c r="U39" s="1">
        <v>31107.437596788681</v>
      </c>
      <c r="V39" s="1">
        <v>26031.939657087449</v>
      </c>
      <c r="W39" s="1">
        <v>25016.840069147205</v>
      </c>
    </row>
    <row r="40" spans="1:23" x14ac:dyDescent="0.25">
      <c r="A40" s="46">
        <v>75</v>
      </c>
      <c r="B40" s="46">
        <v>39</v>
      </c>
      <c r="C40" s="46" t="s">
        <v>137</v>
      </c>
      <c r="D40" s="47" t="s">
        <v>143</v>
      </c>
      <c r="E40" s="47">
        <v>123456</v>
      </c>
      <c r="F40" s="47">
        <v>4</v>
      </c>
      <c r="G40" s="47">
        <v>29250</v>
      </c>
      <c r="H40" s="47">
        <v>28790.742819921608</v>
      </c>
      <c r="I40" s="47">
        <v>23.526462894325061</v>
      </c>
      <c r="J40" s="47">
        <v>12.666212395354782</v>
      </c>
      <c r="K40" s="1">
        <v>23.710181279513812</v>
      </c>
      <c r="L40" s="1">
        <v>12.777996295873747</v>
      </c>
      <c r="M40" s="1">
        <v>689.21082891815729</v>
      </c>
      <c r="N40" s="1">
        <v>1.0981710936573109E-2</v>
      </c>
      <c r="O40" s="1">
        <v>28500.806734362504</v>
      </c>
      <c r="P40" s="1">
        <v>30647.717420595345</v>
      </c>
      <c r="Q40" s="1">
        <v>31376.46805351667</v>
      </c>
      <c r="R40" s="1">
        <v>26353.896048129664</v>
      </c>
      <c r="S40" s="1">
        <v>25625.145415208339</v>
      </c>
      <c r="T40" s="1">
        <v>30092.338008848437</v>
      </c>
      <c r="U40" s="1">
        <v>31107.437596788681</v>
      </c>
      <c r="V40" s="1">
        <v>26031.939657087449</v>
      </c>
      <c r="W40" s="1">
        <v>25016.840069147205</v>
      </c>
    </row>
    <row r="41" spans="1:23" x14ac:dyDescent="0.25">
      <c r="A41" s="46">
        <v>78</v>
      </c>
      <c r="B41" s="46">
        <v>40</v>
      </c>
      <c r="C41" s="46" t="s">
        <v>137</v>
      </c>
      <c r="D41" s="47" t="s">
        <v>143</v>
      </c>
      <c r="E41" s="47">
        <v>123456</v>
      </c>
      <c r="F41" s="47">
        <v>4</v>
      </c>
      <c r="G41" s="47">
        <v>29250</v>
      </c>
      <c r="H41" s="47">
        <v>29027.962761193481</v>
      </c>
      <c r="I41" s="47">
        <v>19.727326563292536</v>
      </c>
      <c r="J41" s="47">
        <v>11.692586866859338</v>
      </c>
      <c r="K41" s="1">
        <v>19.997904401796834</v>
      </c>
      <c r="L41" s="1">
        <v>12.161283280694686</v>
      </c>
      <c r="M41" s="1">
        <v>635.07192176283786</v>
      </c>
      <c r="N41" s="1">
        <v>2.6814113144697779E-2</v>
      </c>
      <c r="O41" s="1">
        <v>28513.985635033278</v>
      </c>
      <c r="P41" s="1">
        <v>30638.111274874471</v>
      </c>
      <c r="Q41" s="1">
        <v>31357.696340705166</v>
      </c>
      <c r="R41" s="1">
        <v>26389.859995192084</v>
      </c>
      <c r="S41" s="1">
        <v>25670.274929361389</v>
      </c>
      <c r="T41" s="1">
        <v>30092.338008848437</v>
      </c>
      <c r="U41" s="1">
        <v>31107.437596788681</v>
      </c>
      <c r="V41" s="1">
        <v>26031.939657087449</v>
      </c>
      <c r="W41" s="1">
        <v>25016.840069147205</v>
      </c>
    </row>
    <row r="42" spans="1:23" x14ac:dyDescent="0.25">
      <c r="A42" s="46">
        <v>79</v>
      </c>
      <c r="B42" s="46">
        <v>41</v>
      </c>
      <c r="C42" s="46" t="s">
        <v>137</v>
      </c>
      <c r="D42" s="47" t="s">
        <v>143</v>
      </c>
      <c r="E42" s="47">
        <v>123456</v>
      </c>
      <c r="F42" s="47">
        <v>4</v>
      </c>
      <c r="G42" s="47">
        <v>29250</v>
      </c>
      <c r="H42" s="47">
        <v>28847.2670353547</v>
      </c>
      <c r="I42" s="47">
        <v>21.707171291579861</v>
      </c>
      <c r="J42" s="47">
        <v>12.337812221342629</v>
      </c>
      <c r="K42" s="1">
        <v>22.196541199570593</v>
      </c>
      <c r="L42" s="1">
        <v>12.360640339975467</v>
      </c>
      <c r="M42" s="1">
        <v>745.34573033011077</v>
      </c>
      <c r="N42" s="1">
        <v>2.8217284607235438E-2</v>
      </c>
      <c r="O42" s="1">
        <v>28522.114449675264</v>
      </c>
      <c r="P42" s="1">
        <v>30620.483804590069</v>
      </c>
      <c r="Q42" s="1">
        <v>31330.00300030331</v>
      </c>
      <c r="R42" s="1">
        <v>26423.745094760459</v>
      </c>
      <c r="S42" s="1">
        <v>25714.225899047218</v>
      </c>
      <c r="T42" s="1">
        <v>30092.338008848437</v>
      </c>
      <c r="U42" s="1">
        <v>31107.437596788681</v>
      </c>
      <c r="V42" s="1">
        <v>26031.939657087449</v>
      </c>
      <c r="W42" s="1">
        <v>25016.840069147205</v>
      </c>
    </row>
    <row r="43" spans="1:23" x14ac:dyDescent="0.25">
      <c r="A43" s="46">
        <v>82</v>
      </c>
      <c r="B43" s="46">
        <v>42</v>
      </c>
      <c r="C43" s="46" t="s">
        <v>137</v>
      </c>
      <c r="D43" s="47" t="s">
        <v>143</v>
      </c>
      <c r="E43" s="47">
        <v>123456</v>
      </c>
      <c r="F43" s="47">
        <v>4</v>
      </c>
      <c r="G43" s="47">
        <v>29250</v>
      </c>
      <c r="H43" s="47">
        <v>28825.619171905833</v>
      </c>
      <c r="I43" s="47">
        <v>17.929320608157266</v>
      </c>
      <c r="J43" s="47">
        <v>14.064912901896859</v>
      </c>
      <c r="K43" s="1">
        <v>18.278433534612013</v>
      </c>
      <c r="L43" s="1">
        <v>14.537043274845367</v>
      </c>
      <c r="M43" s="1">
        <v>763.0198409745135</v>
      </c>
      <c r="N43" s="1">
        <v>6.1504492663878724E-3</v>
      </c>
      <c r="O43" s="1">
        <v>28529.340752585515</v>
      </c>
      <c r="P43" s="1">
        <v>30602.547157774028</v>
      </c>
      <c r="Q43" s="1">
        <v>31302.300777719607</v>
      </c>
      <c r="R43" s="1">
        <v>26456.134347397001</v>
      </c>
      <c r="S43" s="1">
        <v>25756.380727451422</v>
      </c>
      <c r="T43" s="1">
        <v>30092.338008848437</v>
      </c>
      <c r="U43" s="1">
        <v>31107.437596788681</v>
      </c>
      <c r="V43" s="1">
        <v>26031.939657087449</v>
      </c>
      <c r="W43" s="1">
        <v>25016.840069147205</v>
      </c>
    </row>
    <row r="44" spans="1:23" x14ac:dyDescent="0.25">
      <c r="A44" s="46">
        <v>83</v>
      </c>
      <c r="B44" s="46">
        <v>43</v>
      </c>
      <c r="C44" s="46" t="s">
        <v>137</v>
      </c>
      <c r="D44" s="47" t="s">
        <v>143</v>
      </c>
      <c r="E44" s="47">
        <v>123456</v>
      </c>
      <c r="F44" s="47">
        <v>4</v>
      </c>
      <c r="G44" s="47">
        <v>29250</v>
      </c>
      <c r="H44" s="47">
        <v>26873.89933142973</v>
      </c>
      <c r="I44" s="47">
        <v>24.434084993551071</v>
      </c>
      <c r="J44" s="47">
        <v>11.642916669593609</v>
      </c>
      <c r="K44" s="1">
        <v>24.504179273887704</v>
      </c>
      <c r="L44" s="1">
        <v>12.126034246114578</v>
      </c>
      <c r="M44" s="1">
        <v>740.34072131137384</v>
      </c>
      <c r="N44" s="1">
        <v>1.1497897389812592E-2</v>
      </c>
      <c r="O44" s="1">
        <v>28490.842114884217</v>
      </c>
      <c r="P44" s="1">
        <v>30600.189165863183</v>
      </c>
      <c r="Q44" s="1">
        <v>31310.92513991781</v>
      </c>
      <c r="R44" s="1">
        <v>26381.495063905251</v>
      </c>
      <c r="S44" s="1">
        <v>25670.759089850624</v>
      </c>
      <c r="T44" s="1">
        <v>30092.338008848437</v>
      </c>
      <c r="U44" s="1">
        <v>31107.437596788681</v>
      </c>
      <c r="V44" s="1">
        <v>26031.939657087449</v>
      </c>
      <c r="W44" s="1">
        <v>25016.840069147205</v>
      </c>
    </row>
    <row r="45" spans="1:23" x14ac:dyDescent="0.25">
      <c r="A45" s="46">
        <v>86</v>
      </c>
      <c r="B45" s="46">
        <v>44</v>
      </c>
      <c r="C45" s="46" t="s">
        <v>137</v>
      </c>
      <c r="D45" s="47" t="s">
        <v>143</v>
      </c>
      <c r="E45" s="47">
        <v>123456</v>
      </c>
      <c r="F45" s="47">
        <v>4</v>
      </c>
      <c r="G45" s="47">
        <v>29250</v>
      </c>
      <c r="H45" s="47">
        <v>26928.854963359212</v>
      </c>
      <c r="I45" s="47">
        <v>23.143037400244282</v>
      </c>
      <c r="J45" s="47">
        <v>13.451798371343775</v>
      </c>
      <c r="K45" s="1">
        <v>23.535957744566808</v>
      </c>
      <c r="L45" s="1">
        <v>13.726172589713274</v>
      </c>
      <c r="M45" s="1">
        <v>688.47344788988369</v>
      </c>
      <c r="N45" s="1">
        <v>6.6037941415292029E-3</v>
      </c>
      <c r="O45" s="1">
        <v>28455.342406895012</v>
      </c>
      <c r="P45" s="1">
        <v>30592.023838410656</v>
      </c>
      <c r="Q45" s="1">
        <v>31310.797776227188</v>
      </c>
      <c r="R45" s="1">
        <v>26318.660975379367</v>
      </c>
      <c r="S45" s="1">
        <v>25599.887037562836</v>
      </c>
      <c r="T45" s="1">
        <v>30092.338008848437</v>
      </c>
      <c r="U45" s="1">
        <v>31107.437596788681</v>
      </c>
      <c r="V45" s="1">
        <v>26031.939657087449</v>
      </c>
      <c r="W45" s="1">
        <v>25016.840069147205</v>
      </c>
    </row>
    <row r="46" spans="1:23" x14ac:dyDescent="0.25">
      <c r="A46" s="46">
        <v>87</v>
      </c>
      <c r="B46" s="46">
        <v>45</v>
      </c>
      <c r="C46" s="46" t="s">
        <v>137</v>
      </c>
      <c r="D46" s="47" t="s">
        <v>143</v>
      </c>
      <c r="E46" s="47">
        <v>123456</v>
      </c>
      <c r="F46" s="47">
        <v>4</v>
      </c>
      <c r="G46" s="47">
        <v>29250</v>
      </c>
      <c r="H46" s="47">
        <v>27556.352986783273</v>
      </c>
      <c r="I46" s="47">
        <v>17.686329180467812</v>
      </c>
      <c r="J46" s="47">
        <v>12.723174209753969</v>
      </c>
      <c r="K46" s="1">
        <v>18.159790389930006</v>
      </c>
      <c r="L46" s="1">
        <v>12.827785549918056</v>
      </c>
      <c r="M46" s="1">
        <v>652.77121898533278</v>
      </c>
      <c r="N46" s="1">
        <v>2.7212496277862198E-2</v>
      </c>
      <c r="O46" s="1">
        <v>28435.364864225863</v>
      </c>
      <c r="P46" s="1">
        <v>30563.447506200198</v>
      </c>
      <c r="Q46" s="1">
        <v>31278.216320822998</v>
      </c>
      <c r="R46" s="1">
        <v>26307.282222251528</v>
      </c>
      <c r="S46" s="1">
        <v>25592.513407628729</v>
      </c>
      <c r="T46" s="1">
        <v>30092.338008848437</v>
      </c>
      <c r="U46" s="1">
        <v>31107.437596788681</v>
      </c>
      <c r="V46" s="1">
        <v>26031.939657087449</v>
      </c>
      <c r="W46" s="1">
        <v>25016.840069147205</v>
      </c>
    </row>
    <row r="47" spans="1:23" x14ac:dyDescent="0.25">
      <c r="A47" s="46">
        <v>90</v>
      </c>
      <c r="B47" s="46">
        <v>46</v>
      </c>
      <c r="C47" s="46" t="s">
        <v>137</v>
      </c>
      <c r="D47" s="47" t="s">
        <v>143</v>
      </c>
      <c r="E47" s="47">
        <v>123456</v>
      </c>
      <c r="F47" s="47">
        <v>4</v>
      </c>
      <c r="G47" s="47">
        <v>29250</v>
      </c>
      <c r="H47" s="47">
        <v>28300.910517374952</v>
      </c>
      <c r="I47" s="47">
        <v>23.390606340046663</v>
      </c>
      <c r="J47" s="47">
        <v>13.484155584572106</v>
      </c>
      <c r="K47" s="1">
        <v>23.603928440849874</v>
      </c>
      <c r="L47" s="1">
        <v>13.569087066775534</v>
      </c>
      <c r="M47" s="1">
        <v>752.34103090369626</v>
      </c>
      <c r="N47" s="1">
        <v>2.7260746532991972E-2</v>
      </c>
      <c r="O47" s="1">
        <v>28432.441943642149</v>
      </c>
      <c r="P47" s="1">
        <v>30535.805415950697</v>
      </c>
      <c r="Q47" s="1">
        <v>31241.22272254961</v>
      </c>
      <c r="R47" s="1">
        <v>26329.0784713336</v>
      </c>
      <c r="S47" s="1">
        <v>25623.661164734687</v>
      </c>
      <c r="T47" s="1">
        <v>30092.338008848437</v>
      </c>
      <c r="U47" s="1">
        <v>31107.437596788681</v>
      </c>
      <c r="V47" s="1">
        <v>26031.939657087449</v>
      </c>
      <c r="W47" s="1">
        <v>25016.840069147205</v>
      </c>
    </row>
    <row r="48" spans="1:23" x14ac:dyDescent="0.25">
      <c r="A48" s="46">
        <v>91</v>
      </c>
      <c r="B48" s="46">
        <v>47</v>
      </c>
      <c r="C48" s="46" t="s">
        <v>137</v>
      </c>
      <c r="D48" s="47" t="s">
        <v>143</v>
      </c>
      <c r="E48" s="47">
        <v>123456</v>
      </c>
      <c r="F48" s="47">
        <v>4</v>
      </c>
      <c r="G48" s="47">
        <v>29250</v>
      </c>
      <c r="H48" s="47">
        <v>27325.20598990536</v>
      </c>
      <c r="I48" s="47">
        <v>23.040623699391833</v>
      </c>
      <c r="J48" s="47">
        <v>12.285100918534441</v>
      </c>
      <c r="K48" s="1">
        <v>23.489092347895966</v>
      </c>
      <c r="L48" s="1">
        <v>12.484954642565535</v>
      </c>
      <c r="M48" s="1">
        <v>636.38521075226288</v>
      </c>
      <c r="N48" s="1">
        <v>1.2591915298450669E-2</v>
      </c>
      <c r="O48" s="1">
        <v>28408.883731860515</v>
      </c>
      <c r="P48" s="1">
        <v>30513.274311673085</v>
      </c>
      <c r="Q48" s="1">
        <v>31218.03383579004</v>
      </c>
      <c r="R48" s="1">
        <v>26304.493152047944</v>
      </c>
      <c r="S48" s="1">
        <v>25599.733627930989</v>
      </c>
      <c r="T48" s="1">
        <v>30092.338008848437</v>
      </c>
      <c r="U48" s="1">
        <v>31107.437596788681</v>
      </c>
      <c r="V48" s="1">
        <v>26031.939657087449</v>
      </c>
      <c r="W48" s="1">
        <v>25016.840069147205</v>
      </c>
    </row>
    <row r="49" spans="1:23" x14ac:dyDescent="0.25">
      <c r="A49" s="46">
        <v>94</v>
      </c>
      <c r="B49" s="46">
        <v>48</v>
      </c>
      <c r="C49" s="46" t="s">
        <v>137</v>
      </c>
      <c r="D49" s="47" t="s">
        <v>143</v>
      </c>
      <c r="E49" s="47">
        <v>123456</v>
      </c>
      <c r="F49" s="47">
        <v>4</v>
      </c>
      <c r="G49" s="47">
        <v>29250</v>
      </c>
      <c r="H49" s="47">
        <v>27501.839899969495</v>
      </c>
      <c r="I49" s="47">
        <v>21.093046065578154</v>
      </c>
      <c r="J49" s="47">
        <v>13.066229665790404</v>
      </c>
      <c r="K49" s="1">
        <v>21.553719532734089</v>
      </c>
      <c r="L49" s="1">
        <v>13.474249193844104</v>
      </c>
      <c r="M49" s="1">
        <v>628.39351175209708</v>
      </c>
      <c r="N49" s="1">
        <v>2.7337945749040193E-2</v>
      </c>
      <c r="O49" s="1">
        <v>28389.986985362786</v>
      </c>
      <c r="P49" s="1">
        <v>30487.278634829367</v>
      </c>
      <c r="Q49" s="1">
        <v>31188.705826810929</v>
      </c>
      <c r="R49" s="1">
        <v>26292.695335896206</v>
      </c>
      <c r="S49" s="1">
        <v>25591.268143914644</v>
      </c>
      <c r="T49" s="1">
        <v>30092.338008848437</v>
      </c>
      <c r="U49" s="1">
        <v>31107.437596788681</v>
      </c>
      <c r="V49" s="1">
        <v>26031.939657087449</v>
      </c>
      <c r="W49" s="1">
        <v>25016.840069147205</v>
      </c>
    </row>
    <row r="50" spans="1:23" x14ac:dyDescent="0.25">
      <c r="A50" s="46">
        <v>95</v>
      </c>
      <c r="B50" s="46">
        <v>49</v>
      </c>
      <c r="C50" s="46" t="s">
        <v>137</v>
      </c>
      <c r="D50" s="47" t="s">
        <v>143</v>
      </c>
      <c r="E50" s="47">
        <v>123456</v>
      </c>
      <c r="F50" s="47">
        <v>4</v>
      </c>
      <c r="G50" s="47">
        <v>29250</v>
      </c>
      <c r="H50" s="47">
        <v>28725.408870523457</v>
      </c>
      <c r="I50" s="47">
        <v>21.982531620218754</v>
      </c>
      <c r="J50" s="47">
        <v>14.15031490901668</v>
      </c>
      <c r="K50" s="1">
        <v>22.172063874786264</v>
      </c>
      <c r="L50" s="1">
        <v>14.550984472811322</v>
      </c>
      <c r="M50" s="1">
        <v>721.52159074170629</v>
      </c>
      <c r="N50" s="1">
        <v>1.8941133176145285E-2</v>
      </c>
      <c r="O50" s="1">
        <v>28396.832329957902</v>
      </c>
      <c r="P50" s="1">
        <v>30473.257851622282</v>
      </c>
      <c r="Q50" s="1">
        <v>31166.801800918012</v>
      </c>
      <c r="R50" s="1">
        <v>26320.406808293523</v>
      </c>
      <c r="S50" s="1">
        <v>25626.862858997793</v>
      </c>
      <c r="T50" s="1">
        <v>30092.338008848437</v>
      </c>
      <c r="U50" s="1">
        <v>31107.437596788681</v>
      </c>
      <c r="V50" s="1">
        <v>26031.939657087449</v>
      </c>
      <c r="W50" s="1">
        <v>25016.840069147205</v>
      </c>
    </row>
    <row r="51" spans="1:23" x14ac:dyDescent="0.25">
      <c r="A51" s="46">
        <v>98</v>
      </c>
      <c r="B51" s="46">
        <v>50</v>
      </c>
      <c r="C51" s="46" t="s">
        <v>137</v>
      </c>
      <c r="D51" s="47" t="s">
        <v>143</v>
      </c>
      <c r="E51" s="47">
        <v>123456</v>
      </c>
      <c r="F51" s="47">
        <v>4</v>
      </c>
      <c r="G51" s="47">
        <v>29250</v>
      </c>
      <c r="H51" s="47">
        <v>28677.923751180642</v>
      </c>
      <c r="I51" s="47">
        <v>22.016086870748705</v>
      </c>
      <c r="J51" s="47">
        <v>12.458195137484294</v>
      </c>
      <c r="K51" s="1">
        <v>22.45794837941067</v>
      </c>
      <c r="L51" s="1">
        <v>12.554670638161516</v>
      </c>
      <c r="M51" s="1">
        <v>619.85489675973474</v>
      </c>
      <c r="N51" s="1">
        <v>2.7260615749058362E-2</v>
      </c>
      <c r="O51" s="1">
        <v>28402.454158382359</v>
      </c>
      <c r="P51" s="1">
        <v>30458.052328547299</v>
      </c>
      <c r="Q51" s="1">
        <v>31143.781913294704</v>
      </c>
      <c r="R51" s="1">
        <v>26346.85598821742</v>
      </c>
      <c r="S51" s="1">
        <v>25661.126403470014</v>
      </c>
      <c r="T51" s="1">
        <v>30092.338008848437</v>
      </c>
      <c r="U51" s="1">
        <v>31107.437596788681</v>
      </c>
      <c r="V51" s="1">
        <v>26031.939657087449</v>
      </c>
      <c r="W51" s="1">
        <v>25016.840069147205</v>
      </c>
    </row>
    <row r="52" spans="1:23" x14ac:dyDescent="0.25">
      <c r="A52" s="46">
        <v>99</v>
      </c>
      <c r="B52" s="46">
        <v>51</v>
      </c>
      <c r="C52" s="46" t="s">
        <v>137</v>
      </c>
      <c r="D52" s="47" t="s">
        <v>143</v>
      </c>
      <c r="E52" s="47">
        <v>123456</v>
      </c>
      <c r="F52" s="47">
        <v>4</v>
      </c>
      <c r="G52" s="47">
        <v>29250</v>
      </c>
      <c r="H52" s="47">
        <v>26822.872794780535</v>
      </c>
      <c r="I52" s="47">
        <v>18.502563983625262</v>
      </c>
      <c r="J52" s="47">
        <v>13.658195013060958</v>
      </c>
      <c r="K52" s="1">
        <v>19.001720070857228</v>
      </c>
      <c r="L52" s="1">
        <v>13.662045850862679</v>
      </c>
      <c r="M52" s="1">
        <v>651.36785423208585</v>
      </c>
      <c r="N52" s="1">
        <v>4.1758540750763701E-3</v>
      </c>
      <c r="O52" s="1">
        <v>28371.481974782328</v>
      </c>
      <c r="P52" s="1">
        <v>30453.346137853925</v>
      </c>
      <c r="Q52" s="1">
        <v>31147.004892330569</v>
      </c>
      <c r="R52" s="1">
        <v>26289.61781171073</v>
      </c>
      <c r="S52" s="1">
        <v>25595.959057234086</v>
      </c>
      <c r="T52" s="1">
        <v>30092.338008848437</v>
      </c>
      <c r="U52" s="1">
        <v>31107.437596788681</v>
      </c>
      <c r="V52" s="1">
        <v>26031.939657087449</v>
      </c>
      <c r="W52" s="1">
        <v>25016.840069147205</v>
      </c>
    </row>
    <row r="53" spans="1:23" x14ac:dyDescent="0.25">
      <c r="A53" s="46">
        <v>102</v>
      </c>
      <c r="B53" s="46">
        <v>52</v>
      </c>
      <c r="C53" s="46" t="s">
        <v>137</v>
      </c>
      <c r="D53" s="47" t="s">
        <v>143</v>
      </c>
      <c r="E53" s="47">
        <v>123456</v>
      </c>
      <c r="F53" s="47">
        <v>4</v>
      </c>
      <c r="G53" s="47">
        <v>29250</v>
      </c>
      <c r="H53" s="47">
        <v>29764.5988810259</v>
      </c>
      <c r="I53" s="47">
        <v>22.74467326385944</v>
      </c>
      <c r="J53" s="47">
        <v>12.749732481737016</v>
      </c>
      <c r="K53" s="1">
        <v>22.961907153270985</v>
      </c>
      <c r="L53" s="1">
        <v>13.211920885568901</v>
      </c>
      <c r="M53" s="1">
        <v>642.81911805137076</v>
      </c>
      <c r="N53" s="1">
        <v>4.9327692140850084E-3</v>
      </c>
      <c r="O53" s="1">
        <v>28398.272684517779</v>
      </c>
      <c r="P53" s="1">
        <v>30494.811225382349</v>
      </c>
      <c r="Q53" s="1">
        <v>31192.554483069427</v>
      </c>
      <c r="R53" s="1">
        <v>26301.734143653208</v>
      </c>
      <c r="S53" s="1">
        <v>25603.99088596613</v>
      </c>
      <c r="T53" s="1">
        <v>30092.338008848437</v>
      </c>
      <c r="U53" s="1">
        <v>31107.437596788681</v>
      </c>
      <c r="V53" s="1">
        <v>26031.939657087449</v>
      </c>
      <c r="W53" s="1">
        <v>25016.840069147205</v>
      </c>
    </row>
    <row r="54" spans="1:23" x14ac:dyDescent="0.25">
      <c r="A54" s="46">
        <v>103</v>
      </c>
      <c r="B54" s="46">
        <v>53</v>
      </c>
      <c r="C54" s="46" t="s">
        <v>137</v>
      </c>
      <c r="D54" s="47" t="s">
        <v>143</v>
      </c>
      <c r="E54" s="47">
        <v>123456</v>
      </c>
      <c r="F54" s="47">
        <v>4</v>
      </c>
      <c r="G54" s="47">
        <v>29250</v>
      </c>
      <c r="H54" s="47">
        <v>26750.475237154798</v>
      </c>
      <c r="I54" s="47">
        <v>23.644229017799042</v>
      </c>
      <c r="J54" s="47">
        <v>13.029947944430136</v>
      </c>
      <c r="K54" s="1">
        <v>24.067977582184071</v>
      </c>
      <c r="L54" s="1">
        <v>13.180084225430496</v>
      </c>
      <c r="M54" s="1">
        <v>720.00893511994286</v>
      </c>
      <c r="N54" s="1">
        <v>1.6482933623859455E-2</v>
      </c>
      <c r="O54" s="1">
        <v>28367.182166643004</v>
      </c>
      <c r="P54" s="1">
        <v>30491.613938937284</v>
      </c>
      <c r="Q54" s="1">
        <v>31197.857032429401</v>
      </c>
      <c r="R54" s="1">
        <v>26242.750394348725</v>
      </c>
      <c r="S54" s="1">
        <v>25536.507300856607</v>
      </c>
      <c r="T54" s="1">
        <v>30092.338008848437</v>
      </c>
      <c r="U54" s="1">
        <v>31107.437596788681</v>
      </c>
      <c r="V54" s="1">
        <v>26031.939657087449</v>
      </c>
      <c r="W54" s="1">
        <v>25016.840069147205</v>
      </c>
    </row>
    <row r="55" spans="1:23" x14ac:dyDescent="0.25">
      <c r="A55" s="46">
        <v>106</v>
      </c>
      <c r="B55" s="46">
        <v>54</v>
      </c>
      <c r="C55" s="46" t="s">
        <v>137</v>
      </c>
      <c r="D55" s="47" t="s">
        <v>143</v>
      </c>
      <c r="E55" s="47">
        <v>123456</v>
      </c>
      <c r="F55" s="47">
        <v>4</v>
      </c>
      <c r="G55" s="47">
        <v>29250</v>
      </c>
      <c r="H55" s="47">
        <v>29094.990147613931</v>
      </c>
      <c r="I55" s="47">
        <v>23.984404710444267</v>
      </c>
      <c r="J55" s="47">
        <v>13.136744019212392</v>
      </c>
      <c r="K55" s="1">
        <v>24.192169930196695</v>
      </c>
      <c r="L55" s="1">
        <v>13.343381491392629</v>
      </c>
      <c r="M55" s="1">
        <v>622.9304181439868</v>
      </c>
      <c r="N55" s="1">
        <v>1.1875745091477865E-2</v>
      </c>
      <c r="O55" s="1">
        <v>28380.660092216542</v>
      </c>
      <c r="P55" s="1">
        <v>30493.370167221688</v>
      </c>
      <c r="Q55" s="1">
        <v>31194.967893598241</v>
      </c>
      <c r="R55" s="1">
        <v>26267.950017211395</v>
      </c>
      <c r="S55" s="1">
        <v>25566.352290834842</v>
      </c>
      <c r="T55" s="1">
        <v>30092.338008848437</v>
      </c>
      <c r="U55" s="1">
        <v>31107.437596788681</v>
      </c>
      <c r="V55" s="1">
        <v>26031.939657087449</v>
      </c>
      <c r="W55" s="1">
        <v>25016.840069147205</v>
      </c>
    </row>
    <row r="56" spans="1:23" x14ac:dyDescent="0.25">
      <c r="A56" s="46">
        <v>107</v>
      </c>
      <c r="B56" s="46">
        <v>55</v>
      </c>
      <c r="C56" s="46" t="s">
        <v>137</v>
      </c>
      <c r="D56" s="47" t="s">
        <v>143</v>
      </c>
      <c r="E56" s="47">
        <v>123456</v>
      </c>
      <c r="F56" s="47">
        <v>4</v>
      </c>
      <c r="G56" s="47">
        <v>29250</v>
      </c>
      <c r="H56" s="47">
        <v>27551.250538820448</v>
      </c>
      <c r="I56" s="47">
        <v>21.648678934016377</v>
      </c>
      <c r="J56" s="47">
        <v>13.52984451496088</v>
      </c>
      <c r="K56" s="1">
        <v>21.705944230860688</v>
      </c>
      <c r="L56" s="1">
        <v>13.600949603724873</v>
      </c>
      <c r="M56" s="1">
        <v>720.9103819819602</v>
      </c>
      <c r="N56" s="1">
        <v>1.1393925739799473E-2</v>
      </c>
      <c r="O56" s="1">
        <v>28365.57991851843</v>
      </c>
      <c r="P56" s="1">
        <v>30469.712842967707</v>
      </c>
      <c r="Q56" s="1">
        <v>31167.74509104716</v>
      </c>
      <c r="R56" s="1">
        <v>26261.446994069152</v>
      </c>
      <c r="S56" s="1">
        <v>25563.414745989699</v>
      </c>
      <c r="T56" s="1">
        <v>30092.338008848437</v>
      </c>
      <c r="U56" s="1">
        <v>31107.437596788681</v>
      </c>
      <c r="V56" s="1">
        <v>26031.939657087449</v>
      </c>
      <c r="W56" s="1">
        <v>25016.840069147205</v>
      </c>
    </row>
    <row r="57" spans="1:23" x14ac:dyDescent="0.25">
      <c r="A57" s="46">
        <v>110</v>
      </c>
      <c r="B57" s="46">
        <v>56</v>
      </c>
      <c r="C57" s="46" t="s">
        <v>137</v>
      </c>
      <c r="D57" s="47" t="s">
        <v>143</v>
      </c>
      <c r="E57" s="47">
        <v>123456</v>
      </c>
      <c r="F57" s="47">
        <v>4</v>
      </c>
      <c r="G57" s="47">
        <v>29250</v>
      </c>
      <c r="H57" s="47">
        <v>28274.592843364317</v>
      </c>
      <c r="I57" s="47">
        <v>19.99896591591996</v>
      </c>
      <c r="J57" s="47">
        <v>12.284938068679242</v>
      </c>
      <c r="K57" s="1">
        <v>20.482651525833713</v>
      </c>
      <c r="L57" s="1">
        <v>12.723477774618303</v>
      </c>
      <c r="M57" s="1">
        <v>664.5665226373626</v>
      </c>
      <c r="N57" s="1">
        <v>2.4244356785415731E-2</v>
      </c>
      <c r="O57" s="1">
        <v>28363.955149319248</v>
      </c>
      <c r="P57" s="1">
        <v>30448.146466536611</v>
      </c>
      <c r="Q57" s="1">
        <v>31138.879463403853</v>
      </c>
      <c r="R57" s="1">
        <v>26279.763832101886</v>
      </c>
      <c r="S57" s="1">
        <v>25589.030835234644</v>
      </c>
      <c r="T57" s="1">
        <v>30092.338008848437</v>
      </c>
      <c r="U57" s="1">
        <v>31107.437596788681</v>
      </c>
      <c r="V57" s="1">
        <v>26031.939657087449</v>
      </c>
      <c r="W57" s="1">
        <v>25016.840069147205</v>
      </c>
    </row>
    <row r="58" spans="1:23" x14ac:dyDescent="0.25">
      <c r="A58" s="46">
        <v>111</v>
      </c>
      <c r="B58" s="46">
        <v>57</v>
      </c>
      <c r="C58" s="46" t="s">
        <v>137</v>
      </c>
      <c r="D58" s="47" t="s">
        <v>143</v>
      </c>
      <c r="E58" s="47">
        <v>123456</v>
      </c>
      <c r="F58" s="47">
        <v>4</v>
      </c>
      <c r="G58" s="47">
        <v>29250</v>
      </c>
      <c r="H58" s="47">
        <v>27847.999170569212</v>
      </c>
      <c r="I58" s="47">
        <v>19.884821084139652</v>
      </c>
      <c r="J58" s="47">
        <v>12.114187714252582</v>
      </c>
      <c r="K58" s="1">
        <v>20.221951350692255</v>
      </c>
      <c r="L58" s="1">
        <v>12.368138714065536</v>
      </c>
      <c r="M58" s="1">
        <v>649.08158146621054</v>
      </c>
      <c r="N58" s="1">
        <v>2.3035830702687859E-2</v>
      </c>
      <c r="O58" s="1">
        <v>28354.90329004293</v>
      </c>
      <c r="P58" s="1">
        <v>30424.106980299744</v>
      </c>
      <c r="Q58" s="1">
        <v>31109.218955267563</v>
      </c>
      <c r="R58" s="1">
        <v>26285.699599786116</v>
      </c>
      <c r="S58" s="1">
        <v>25600.587624818298</v>
      </c>
      <c r="T58" s="1">
        <v>30092.338008848437</v>
      </c>
      <c r="U58" s="1">
        <v>31107.437596788681</v>
      </c>
      <c r="V58" s="1">
        <v>26031.939657087449</v>
      </c>
      <c r="W58" s="1">
        <v>25016.840069147205</v>
      </c>
    </row>
    <row r="59" spans="1:23" x14ac:dyDescent="0.25">
      <c r="A59" s="46">
        <v>114</v>
      </c>
      <c r="B59" s="46">
        <v>58</v>
      </c>
      <c r="C59" s="46" t="s">
        <v>137</v>
      </c>
      <c r="D59" s="47" t="s">
        <v>143</v>
      </c>
      <c r="E59" s="47">
        <v>123456</v>
      </c>
      <c r="F59" s="47">
        <v>4</v>
      </c>
      <c r="G59" s="47">
        <v>29250</v>
      </c>
      <c r="H59" s="47">
        <v>29578.936771424826</v>
      </c>
      <c r="I59" s="47">
        <v>24.465744538220218</v>
      </c>
      <c r="J59" s="47">
        <v>12.219803341377483</v>
      </c>
      <c r="K59" s="1">
        <v>24.554971518048745</v>
      </c>
      <c r="L59" s="1">
        <v>12.569360382971315</v>
      </c>
      <c r="M59" s="1">
        <v>617.54069580888449</v>
      </c>
      <c r="N59" s="1">
        <v>1.6726367113515134E-2</v>
      </c>
      <c r="O59" s="1">
        <v>28376.007315583996</v>
      </c>
      <c r="P59" s="1">
        <v>30451.294255504166</v>
      </c>
      <c r="Q59" s="1">
        <v>31137.78824055117</v>
      </c>
      <c r="R59" s="1">
        <v>26300.720375663826</v>
      </c>
      <c r="S59" s="1">
        <v>25614.226390616823</v>
      </c>
      <c r="T59" s="1">
        <v>30092.338008848437</v>
      </c>
      <c r="U59" s="1">
        <v>31107.437596788681</v>
      </c>
      <c r="V59" s="1">
        <v>26031.939657087449</v>
      </c>
      <c r="W59" s="1">
        <v>25016.840069147205</v>
      </c>
    </row>
    <row r="60" spans="1:23" x14ac:dyDescent="0.25">
      <c r="A60" s="46">
        <v>115</v>
      </c>
      <c r="B60" s="46">
        <v>59</v>
      </c>
      <c r="C60" s="46" t="s">
        <v>137</v>
      </c>
      <c r="D60" s="47" t="s">
        <v>143</v>
      </c>
      <c r="E60" s="47">
        <v>123456</v>
      </c>
      <c r="F60" s="47">
        <v>4</v>
      </c>
      <c r="G60" s="47">
        <v>29250</v>
      </c>
      <c r="H60" s="47">
        <v>28925.35133408129</v>
      </c>
      <c r="I60" s="47">
        <v>19.67702198585372</v>
      </c>
      <c r="J60" s="47">
        <v>13.13983041180609</v>
      </c>
      <c r="K60" s="1">
        <v>19.926025051221139</v>
      </c>
      <c r="L60" s="1">
        <v>13.541736670085676</v>
      </c>
      <c r="M60" s="1">
        <v>643.80481378514366</v>
      </c>
      <c r="N60" s="1">
        <v>4.8063902455309305E-3</v>
      </c>
      <c r="O60" s="1">
        <v>28385.318231151748</v>
      </c>
      <c r="P60" s="1">
        <v>30446.845289498859</v>
      </c>
      <c r="Q60" s="1">
        <v>31128.181878168962</v>
      </c>
      <c r="R60" s="1">
        <v>26323.791172804638</v>
      </c>
      <c r="S60" s="1">
        <v>25642.454584134535</v>
      </c>
      <c r="T60" s="1">
        <v>30092.338008848437</v>
      </c>
      <c r="U60" s="1">
        <v>31107.437596788681</v>
      </c>
      <c r="V60" s="1">
        <v>26031.939657087449</v>
      </c>
      <c r="W60" s="1">
        <v>25016.840069147205</v>
      </c>
    </row>
    <row r="61" spans="1:23" x14ac:dyDescent="0.25">
      <c r="A61" s="46">
        <v>118</v>
      </c>
      <c r="B61" s="46">
        <v>60</v>
      </c>
      <c r="C61" s="46" t="s">
        <v>137</v>
      </c>
      <c r="D61" s="47" t="s">
        <v>143</v>
      </c>
      <c r="E61" s="47">
        <v>123456</v>
      </c>
      <c r="F61" s="47">
        <v>4</v>
      </c>
      <c r="G61" s="47">
        <v>29250</v>
      </c>
      <c r="H61" s="47">
        <v>29769.613034232003</v>
      </c>
      <c r="I61" s="47">
        <v>18.741484101986185</v>
      </c>
      <c r="J61" s="47">
        <v>14.335160144248809</v>
      </c>
      <c r="K61" s="1">
        <v>18.74981787929342</v>
      </c>
      <c r="L61" s="1">
        <v>14.487948743988182</v>
      </c>
      <c r="M61" s="1">
        <v>734.05217748505595</v>
      </c>
      <c r="N61" s="1">
        <v>1.107327623989519E-2</v>
      </c>
      <c r="O61" s="1">
        <v>28408.389811203084</v>
      </c>
      <c r="P61" s="1">
        <v>30482.691296720925</v>
      </c>
      <c r="Q61" s="1">
        <v>31167.661618705581</v>
      </c>
      <c r="R61" s="1">
        <v>26334.088325685243</v>
      </c>
      <c r="S61" s="1">
        <v>25649.118003700587</v>
      </c>
      <c r="T61" s="1">
        <v>30092.338008848437</v>
      </c>
      <c r="U61" s="1">
        <v>31107.437596788681</v>
      </c>
      <c r="V61" s="1">
        <v>26031.939657087449</v>
      </c>
      <c r="W61" s="1">
        <v>25016.840069147205</v>
      </c>
    </row>
    <row r="62" spans="1:23" x14ac:dyDescent="0.25">
      <c r="A62" s="46">
        <v>119</v>
      </c>
      <c r="B62" s="46">
        <v>61</v>
      </c>
      <c r="C62" s="46" t="s">
        <v>137</v>
      </c>
      <c r="D62" s="47" t="s">
        <v>143</v>
      </c>
      <c r="E62" s="47">
        <v>123456</v>
      </c>
      <c r="F62" s="47">
        <v>4</v>
      </c>
      <c r="G62" s="47">
        <v>29250</v>
      </c>
      <c r="H62" s="47">
        <v>27819.409304031589</v>
      </c>
      <c r="I62" s="47">
        <v>19.666679091441789</v>
      </c>
      <c r="J62" s="47">
        <v>14.8548482489375</v>
      </c>
      <c r="K62" s="1">
        <v>19.813300186575759</v>
      </c>
      <c r="L62" s="1">
        <v>14.860749799808632</v>
      </c>
      <c r="M62" s="1">
        <v>722.93909665034698</v>
      </c>
      <c r="N62" s="1">
        <v>1.6998208820513179E-2</v>
      </c>
      <c r="O62" s="1">
        <v>28398.734393052735</v>
      </c>
      <c r="P62" s="1">
        <v>30460.485915874469</v>
      </c>
      <c r="Q62" s="1">
        <v>31140.747370078105</v>
      </c>
      <c r="R62" s="1">
        <v>26336.982870231001</v>
      </c>
      <c r="S62" s="1">
        <v>25656.721416027365</v>
      </c>
      <c r="T62" s="1">
        <v>30092.338008848437</v>
      </c>
      <c r="U62" s="1">
        <v>31107.437596788681</v>
      </c>
      <c r="V62" s="1">
        <v>26031.939657087449</v>
      </c>
      <c r="W62" s="1">
        <v>25016.840069147205</v>
      </c>
    </row>
    <row r="63" spans="1:23" x14ac:dyDescent="0.25">
      <c r="A63" s="46">
        <v>122</v>
      </c>
      <c r="B63" s="46">
        <v>62</v>
      </c>
      <c r="C63" s="46" t="s">
        <v>137</v>
      </c>
      <c r="D63" s="47" t="s">
        <v>143</v>
      </c>
      <c r="E63" s="47">
        <v>123456</v>
      </c>
      <c r="F63" s="47">
        <v>4</v>
      </c>
      <c r="G63" s="47">
        <v>29250</v>
      </c>
      <c r="H63" s="47">
        <v>29445.384498421543</v>
      </c>
      <c r="I63" s="47">
        <v>18.549988715676911</v>
      </c>
      <c r="J63" s="47">
        <v>13.035532694689996</v>
      </c>
      <c r="K63" s="1">
        <v>18.891467180987028</v>
      </c>
      <c r="L63" s="1">
        <v>13.193648619554565</v>
      </c>
      <c r="M63" s="1">
        <v>655.72507934270573</v>
      </c>
      <c r="N63" s="1">
        <v>2.4030900019813284E-2</v>
      </c>
      <c r="O63" s="1">
        <v>28415.615846365134</v>
      </c>
      <c r="P63" s="1">
        <v>30476.91759454655</v>
      </c>
      <c r="Q63" s="1">
        <v>31156.485120194098</v>
      </c>
      <c r="R63" s="1">
        <v>26354.314098183717</v>
      </c>
      <c r="S63" s="1">
        <v>25674.746572536169</v>
      </c>
      <c r="T63" s="1">
        <v>30092.338008848437</v>
      </c>
      <c r="U63" s="1">
        <v>31107.437596788681</v>
      </c>
      <c r="V63" s="1">
        <v>26031.939657087449</v>
      </c>
      <c r="W63" s="1">
        <v>25016.840069147205</v>
      </c>
    </row>
    <row r="64" spans="1:23" x14ac:dyDescent="0.25">
      <c r="A64" s="46">
        <v>123</v>
      </c>
      <c r="B64" s="46">
        <v>63</v>
      </c>
      <c r="C64" s="46" t="s">
        <v>137</v>
      </c>
      <c r="D64" s="47" t="s">
        <v>143</v>
      </c>
      <c r="E64" s="47">
        <v>123456</v>
      </c>
      <c r="F64" s="47">
        <v>4</v>
      </c>
      <c r="G64" s="47">
        <v>29250</v>
      </c>
      <c r="H64" s="47">
        <v>27613.467383565443</v>
      </c>
      <c r="I64" s="47">
        <v>23.573792736266544</v>
      </c>
      <c r="J64" s="47">
        <v>11.619918437225445</v>
      </c>
      <c r="K64" s="1">
        <v>23.644528269372529</v>
      </c>
      <c r="L64" s="1">
        <v>12.015429847953811</v>
      </c>
      <c r="M64" s="1">
        <v>638.07695864710945</v>
      </c>
      <c r="N64" s="1">
        <v>1.1851877158522451E-2</v>
      </c>
      <c r="O64" s="1">
        <v>28402.883331082598</v>
      </c>
      <c r="P64" s="1">
        <v>30456.786608737977</v>
      </c>
      <c r="Q64" s="1">
        <v>31133.389438019265</v>
      </c>
      <c r="R64" s="1">
        <v>26348.980053427218</v>
      </c>
      <c r="S64" s="1">
        <v>25672.37722414593</v>
      </c>
      <c r="T64" s="1">
        <v>30092.338008848437</v>
      </c>
      <c r="U64" s="1">
        <v>31107.437596788681</v>
      </c>
      <c r="V64" s="1">
        <v>26031.939657087449</v>
      </c>
      <c r="W64" s="1">
        <v>25016.840069147205</v>
      </c>
    </row>
    <row r="65" spans="1:23" x14ac:dyDescent="0.25">
      <c r="A65" s="46">
        <v>126</v>
      </c>
      <c r="B65" s="46">
        <v>64</v>
      </c>
      <c r="C65" s="46" t="s">
        <v>137</v>
      </c>
      <c r="D65" s="47" t="s">
        <v>143</v>
      </c>
      <c r="E65" s="47">
        <v>123456</v>
      </c>
      <c r="F65" s="47">
        <v>4</v>
      </c>
      <c r="G65" s="47">
        <v>29250</v>
      </c>
      <c r="H65" s="47">
        <v>29115.146904176752</v>
      </c>
      <c r="I65" s="47">
        <v>17.953483339045711</v>
      </c>
      <c r="J65" s="47">
        <v>13.2347873689635</v>
      </c>
      <c r="K65" s="1">
        <v>18.271374637484037</v>
      </c>
      <c r="L65" s="1">
        <v>13.266140731178298</v>
      </c>
      <c r="M65" s="1">
        <v>681.92954307552236</v>
      </c>
      <c r="N65" s="1">
        <v>1.6478635559614194E-2</v>
      </c>
      <c r="O65" s="1">
        <v>28414.012449412196</v>
      </c>
      <c r="P65" s="1">
        <v>30458.662166511567</v>
      </c>
      <c r="Q65" s="1">
        <v>31131.710488653658</v>
      </c>
      <c r="R65" s="1">
        <v>26369.362732312824</v>
      </c>
      <c r="S65" s="1">
        <v>25696.314410170733</v>
      </c>
      <c r="T65" s="1">
        <v>30092.338008848437</v>
      </c>
      <c r="U65" s="1">
        <v>31107.437596788681</v>
      </c>
      <c r="V65" s="1">
        <v>26031.939657087449</v>
      </c>
      <c r="W65" s="1">
        <v>25016.840069147205</v>
      </c>
    </row>
    <row r="66" spans="1:23" x14ac:dyDescent="0.25">
      <c r="A66" s="46">
        <v>127</v>
      </c>
      <c r="B66" s="46">
        <v>65</v>
      </c>
      <c r="C66" s="46" t="s">
        <v>137</v>
      </c>
      <c r="D66" s="47" t="s">
        <v>143</v>
      </c>
      <c r="E66" s="47">
        <v>123456</v>
      </c>
      <c r="F66" s="47">
        <v>4</v>
      </c>
      <c r="G66" s="47">
        <v>29250</v>
      </c>
      <c r="H66" s="47">
        <v>27531.964326855858</v>
      </c>
      <c r="I66" s="47">
        <v>18.391381263981078</v>
      </c>
      <c r="J66" s="47">
        <v>13.52895158053016</v>
      </c>
      <c r="K66" s="1">
        <v>18.675467265211601</v>
      </c>
      <c r="L66" s="1">
        <v>13.879327271848176</v>
      </c>
      <c r="M66" s="1">
        <v>642.80877175523551</v>
      </c>
      <c r="N66" s="1">
        <v>1.0435690722579261E-2</v>
      </c>
      <c r="O66" s="1">
        <v>28400.442478295947</v>
      </c>
      <c r="P66" s="1">
        <v>30440.178703506183</v>
      </c>
      <c r="Q66" s="1">
        <v>31111.120849100538</v>
      </c>
      <c r="R66" s="1">
        <v>26360.706253085711</v>
      </c>
      <c r="S66" s="1">
        <v>25689.764107491355</v>
      </c>
      <c r="T66" s="1">
        <v>30092.338008848437</v>
      </c>
      <c r="U66" s="1">
        <v>31107.437596788681</v>
      </c>
      <c r="V66" s="1">
        <v>26031.939657087449</v>
      </c>
      <c r="W66" s="1">
        <v>25016.840069147205</v>
      </c>
    </row>
    <row r="67" spans="1:23" x14ac:dyDescent="0.25">
      <c r="A67" s="46">
        <v>130</v>
      </c>
      <c r="B67" s="46">
        <v>66</v>
      </c>
      <c r="C67" s="46" t="s">
        <v>137</v>
      </c>
      <c r="D67" s="47" t="s">
        <v>143</v>
      </c>
      <c r="E67" s="47">
        <v>123456</v>
      </c>
      <c r="F67" s="47">
        <v>4</v>
      </c>
      <c r="G67" s="47">
        <v>29250</v>
      </c>
      <c r="H67" s="47">
        <v>28585.134846317822</v>
      </c>
      <c r="I67" s="47">
        <v>20.715102024118988</v>
      </c>
      <c r="J67" s="47">
        <v>14.04391231592105</v>
      </c>
      <c r="K67" s="1">
        <v>20.735275126730787</v>
      </c>
      <c r="L67" s="1">
        <v>14.446030702287898</v>
      </c>
      <c r="M67" s="1">
        <v>606.00383125277381</v>
      </c>
      <c r="N67" s="1">
        <v>1.7618591886905191E-2</v>
      </c>
      <c r="O67" s="1">
        <v>28403.240847508398</v>
      </c>
      <c r="P67" s="1">
        <v>30427.135793879934</v>
      </c>
      <c r="Q67" s="1">
        <v>31092.397491466538</v>
      </c>
      <c r="R67" s="1">
        <v>26379.345901136861</v>
      </c>
      <c r="S67" s="1">
        <v>25714.084203550257</v>
      </c>
      <c r="T67" s="1">
        <v>30092.338008848437</v>
      </c>
      <c r="U67" s="1">
        <v>31107.437596788681</v>
      </c>
      <c r="V67" s="1">
        <v>26031.939657087449</v>
      </c>
      <c r="W67" s="1">
        <v>25016.840069147205</v>
      </c>
    </row>
    <row r="68" spans="1:23" x14ac:dyDescent="0.25">
      <c r="A68" s="46">
        <v>131</v>
      </c>
      <c r="B68" s="46">
        <v>67</v>
      </c>
      <c r="C68" s="46" t="s">
        <v>137</v>
      </c>
      <c r="D68" s="47" t="s">
        <v>143</v>
      </c>
      <c r="E68" s="47">
        <v>123456</v>
      </c>
      <c r="F68" s="47">
        <v>4</v>
      </c>
      <c r="G68" s="47">
        <v>29250</v>
      </c>
      <c r="H68" s="47">
        <v>28980.963066015644</v>
      </c>
      <c r="I68" s="47">
        <v>19.13878413111091</v>
      </c>
      <c r="J68" s="47">
        <v>14.207792204174046</v>
      </c>
      <c r="K68" s="1">
        <v>19.529360767999773</v>
      </c>
      <c r="L68" s="1">
        <v>14.462335685659841</v>
      </c>
      <c r="M68" s="1">
        <v>759.19156782303821</v>
      </c>
      <c r="N68" s="1">
        <v>2.7682424999868411E-2</v>
      </c>
      <c r="O68" s="1">
        <v>28411.863567187611</v>
      </c>
      <c r="P68" s="1">
        <v>30424.729464854325</v>
      </c>
      <c r="Q68" s="1">
        <v>31085.913251191498</v>
      </c>
      <c r="R68" s="1">
        <v>26398.997669520897</v>
      </c>
      <c r="S68" s="1">
        <v>25737.813883183724</v>
      </c>
      <c r="T68" s="1">
        <v>30092.338008848437</v>
      </c>
      <c r="U68" s="1">
        <v>31107.437596788681</v>
      </c>
      <c r="V68" s="1">
        <v>26031.939657087449</v>
      </c>
      <c r="W68" s="1">
        <v>25016.840069147205</v>
      </c>
    </row>
    <row r="69" spans="1:23" x14ac:dyDescent="0.25">
      <c r="A69" s="46">
        <v>134</v>
      </c>
      <c r="B69" s="46">
        <v>68</v>
      </c>
      <c r="C69" s="46" t="s">
        <v>137</v>
      </c>
      <c r="D69" s="47" t="s">
        <v>143</v>
      </c>
      <c r="E69" s="47">
        <v>123456</v>
      </c>
      <c r="F69" s="47">
        <v>4</v>
      </c>
      <c r="G69" s="47">
        <v>29250</v>
      </c>
      <c r="H69" s="47">
        <v>27230.830630149208</v>
      </c>
      <c r="I69" s="47">
        <v>19.654768714578434</v>
      </c>
      <c r="J69" s="47">
        <v>12.377268321073329</v>
      </c>
      <c r="K69" s="1">
        <v>19.703852044760762</v>
      </c>
      <c r="L69" s="1">
        <v>12.441347928672659</v>
      </c>
      <c r="M69" s="1">
        <v>602.32464553153909</v>
      </c>
      <c r="N69" s="1">
        <v>2.2118909678635307E-2</v>
      </c>
      <c r="O69" s="1">
        <v>28394.495435760575</v>
      </c>
      <c r="P69" s="1">
        <v>30412.082199629473</v>
      </c>
      <c r="Q69" s="1">
        <v>31074.376877212409</v>
      </c>
      <c r="R69" s="1">
        <v>26376.908671891677</v>
      </c>
      <c r="S69" s="1">
        <v>25714.61399430874</v>
      </c>
      <c r="T69" s="1">
        <v>30092.338008848437</v>
      </c>
      <c r="U69" s="1">
        <v>31107.437596788681</v>
      </c>
      <c r="V69" s="1">
        <v>26031.939657087449</v>
      </c>
      <c r="W69" s="1">
        <v>25016.840069147205</v>
      </c>
    </row>
    <row r="70" spans="1:23" x14ac:dyDescent="0.25">
      <c r="A70" s="46">
        <v>135</v>
      </c>
      <c r="B70" s="46">
        <v>69</v>
      </c>
      <c r="C70" s="46" t="s">
        <v>137</v>
      </c>
      <c r="D70" s="47" t="s">
        <v>143</v>
      </c>
      <c r="E70" s="47">
        <v>123456</v>
      </c>
      <c r="F70" s="47">
        <v>4</v>
      </c>
      <c r="G70" s="47">
        <v>29250</v>
      </c>
      <c r="H70" s="47">
        <v>27888.211145049765</v>
      </c>
      <c r="I70" s="47">
        <v>22.100016158041981</v>
      </c>
      <c r="J70" s="47">
        <v>12.120715372266019</v>
      </c>
      <c r="K70" s="1">
        <v>22.317758902849214</v>
      </c>
      <c r="L70" s="1">
        <v>12.477349089832767</v>
      </c>
      <c r="M70" s="1">
        <v>610.63000894905326</v>
      </c>
      <c r="N70" s="1">
        <v>2.5611692635496248E-2</v>
      </c>
      <c r="O70" s="1">
        <v>28387.157982272012</v>
      </c>
      <c r="P70" s="1">
        <v>30393.004015038336</v>
      </c>
      <c r="Q70" s="1">
        <v>31051.02058407466</v>
      </c>
      <c r="R70" s="1">
        <v>26381.311949505689</v>
      </c>
      <c r="S70" s="1">
        <v>25723.295380469364</v>
      </c>
      <c r="T70" s="1">
        <v>30092.338008848437</v>
      </c>
      <c r="U70" s="1">
        <v>31107.437596788681</v>
      </c>
      <c r="V70" s="1">
        <v>26031.939657087449</v>
      </c>
      <c r="W70" s="1">
        <v>25016.840069147205</v>
      </c>
    </row>
    <row r="71" spans="1:23" x14ac:dyDescent="0.25">
      <c r="A71" s="46">
        <v>138</v>
      </c>
      <c r="B71" s="46">
        <v>70</v>
      </c>
      <c r="C71" s="46" t="s">
        <v>137</v>
      </c>
      <c r="D71" s="47" t="s">
        <v>143</v>
      </c>
      <c r="E71" s="47">
        <v>123456</v>
      </c>
      <c r="F71" s="47">
        <v>4</v>
      </c>
      <c r="G71" s="47">
        <v>29250</v>
      </c>
      <c r="H71" s="47">
        <v>28090.352915635143</v>
      </c>
      <c r="I71" s="47">
        <v>23.277845179615952</v>
      </c>
      <c r="J71" s="47">
        <v>12.866207599422326</v>
      </c>
      <c r="K71" s="1">
        <v>23.391103951955728</v>
      </c>
      <c r="L71" s="1">
        <v>13.036112991328729</v>
      </c>
      <c r="M71" s="1">
        <v>779.6356320340268</v>
      </c>
      <c r="N71" s="1">
        <v>2.8774361947507349E-2</v>
      </c>
      <c r="O71" s="1">
        <v>28382.917909891483</v>
      </c>
      <c r="P71" s="1">
        <v>30374.910918260994</v>
      </c>
      <c r="Q71" s="1">
        <v>31027.974348005464</v>
      </c>
      <c r="R71" s="1">
        <v>26390.924901521972</v>
      </c>
      <c r="S71" s="1">
        <v>25737.861471777502</v>
      </c>
      <c r="T71" s="1">
        <v>30092.338008848437</v>
      </c>
      <c r="U71" s="1">
        <v>31107.437596788681</v>
      </c>
      <c r="V71" s="1">
        <v>26031.939657087449</v>
      </c>
      <c r="W71" s="1">
        <v>25016.840069147205</v>
      </c>
    </row>
    <row r="72" spans="1:23" x14ac:dyDescent="0.25">
      <c r="A72" s="46">
        <v>139</v>
      </c>
      <c r="B72" s="46">
        <v>71</v>
      </c>
      <c r="C72" s="46" t="s">
        <v>137</v>
      </c>
      <c r="D72" s="47" t="s">
        <v>143</v>
      </c>
      <c r="E72" s="47">
        <v>123456</v>
      </c>
      <c r="F72" s="47">
        <v>4</v>
      </c>
      <c r="G72" s="47">
        <v>29250</v>
      </c>
      <c r="H72" s="47">
        <v>29651.505127733017</v>
      </c>
      <c r="I72" s="47">
        <v>18.691690530268794</v>
      </c>
      <c r="J72" s="47">
        <v>13.541776710369536</v>
      </c>
      <c r="K72" s="1">
        <v>18.799158791311143</v>
      </c>
      <c r="L72" s="1">
        <v>13.988262763624235</v>
      </c>
      <c r="M72" s="1">
        <v>726.3196674365629</v>
      </c>
      <c r="N72" s="1">
        <v>4.9070176737638473E-3</v>
      </c>
      <c r="O72" s="1">
        <v>28400.785335494886</v>
      </c>
      <c r="P72" s="1">
        <v>30400.665049161678</v>
      </c>
      <c r="Q72" s="1">
        <v>31055.915802888612</v>
      </c>
      <c r="R72" s="1">
        <v>26400.905621828093</v>
      </c>
      <c r="S72" s="1">
        <v>25745.654868101159</v>
      </c>
      <c r="T72" s="1">
        <v>30092.338008848437</v>
      </c>
      <c r="U72" s="1">
        <v>31107.437596788681</v>
      </c>
      <c r="V72" s="1">
        <v>26031.939657087449</v>
      </c>
      <c r="W72" s="1">
        <v>25016.840069147205</v>
      </c>
    </row>
    <row r="73" spans="1:23" x14ac:dyDescent="0.25">
      <c r="A73" s="46">
        <v>142</v>
      </c>
      <c r="B73" s="46">
        <v>72</v>
      </c>
      <c r="C73" s="46" t="s">
        <v>137</v>
      </c>
      <c r="D73" s="47" t="s">
        <v>143</v>
      </c>
      <c r="E73" s="47">
        <v>123456</v>
      </c>
      <c r="F73" s="47">
        <v>4</v>
      </c>
      <c r="G73" s="47">
        <v>29250</v>
      </c>
      <c r="H73" s="47">
        <v>29000</v>
      </c>
      <c r="I73" s="47">
        <v>21.948612865344259</v>
      </c>
      <c r="J73" s="47">
        <v>14.598261522399328</v>
      </c>
      <c r="K73" s="1">
        <v>22.154953335282578</v>
      </c>
      <c r="L73" s="1">
        <v>14.762789477375438</v>
      </c>
      <c r="M73" s="1">
        <v>746.63307542815335</v>
      </c>
      <c r="N73" s="1">
        <v>4.5451566588104288E-3</v>
      </c>
      <c r="O73" s="1">
        <v>28409.107761390791</v>
      </c>
      <c r="P73" s="1">
        <v>30399.349593321655</v>
      </c>
      <c r="Q73" s="1">
        <v>31051.057595614817</v>
      </c>
      <c r="R73" s="1">
        <v>26418.865929459927</v>
      </c>
      <c r="S73" s="1">
        <v>25767.157927166765</v>
      </c>
      <c r="T73" s="1">
        <v>30092.338008848437</v>
      </c>
      <c r="U73" s="1">
        <v>31107.437596788681</v>
      </c>
      <c r="V73" s="1">
        <v>26031.939657087449</v>
      </c>
      <c r="W73" s="1">
        <v>25016.840069147205</v>
      </c>
    </row>
    <row r="74" spans="1:23" x14ac:dyDescent="0.25">
      <c r="A74" s="46">
        <v>143</v>
      </c>
      <c r="B74" s="46">
        <v>73</v>
      </c>
      <c r="C74" s="46" t="s">
        <v>137</v>
      </c>
      <c r="D74" s="47" t="s">
        <v>143</v>
      </c>
      <c r="E74" s="47">
        <v>123456</v>
      </c>
      <c r="F74" s="47">
        <v>4</v>
      </c>
      <c r="G74" s="47">
        <v>29250</v>
      </c>
      <c r="H74" s="47">
        <v>28524.145876512943</v>
      </c>
      <c r="I74" s="47">
        <v>24.194706227309414</v>
      </c>
      <c r="J74" s="47">
        <v>13.753041580044503</v>
      </c>
      <c r="K74" s="1">
        <v>24.442410355906148</v>
      </c>
      <c r="L74" s="1">
        <v>14.028135850852616</v>
      </c>
      <c r="M74" s="1">
        <v>691.06618947957747</v>
      </c>
      <c r="N74" s="1">
        <v>4.5585532277011096E-3</v>
      </c>
      <c r="O74" s="1">
        <v>28410.683625981506</v>
      </c>
      <c r="P74" s="1">
        <v>30386.7627248442</v>
      </c>
      <c r="Q74" s="1">
        <v>31033.461765355874</v>
      </c>
      <c r="R74" s="1">
        <v>26434.604527118812</v>
      </c>
      <c r="S74" s="1">
        <v>25787.905486607138</v>
      </c>
      <c r="T74" s="1">
        <v>30092.338008848437</v>
      </c>
      <c r="U74" s="1">
        <v>31107.437596788681</v>
      </c>
      <c r="V74" s="1">
        <v>26031.939657087449</v>
      </c>
      <c r="W74" s="1">
        <v>25016.840069147205</v>
      </c>
    </row>
    <row r="75" spans="1:23" x14ac:dyDescent="0.25">
      <c r="A75" s="46">
        <v>146</v>
      </c>
      <c r="B75" s="46">
        <v>74</v>
      </c>
      <c r="C75" s="46" t="s">
        <v>137</v>
      </c>
      <c r="D75" s="47" t="s">
        <v>143</v>
      </c>
      <c r="E75" s="47">
        <v>123456</v>
      </c>
      <c r="F75" s="47">
        <v>4</v>
      </c>
      <c r="G75" s="47">
        <v>29250</v>
      </c>
      <c r="H75" s="47">
        <v>27454.39266931605</v>
      </c>
      <c r="I75" s="47">
        <v>22.786145712248587</v>
      </c>
      <c r="J75" s="47">
        <v>12.357830615469968</v>
      </c>
      <c r="K75" s="1">
        <v>22.869669555319732</v>
      </c>
      <c r="L75" s="1">
        <v>12.716310423888995</v>
      </c>
      <c r="M75" s="1">
        <v>780.6368193067533</v>
      </c>
      <c r="N75" s="1">
        <v>1.077214169365839E-2</v>
      </c>
      <c r="O75" s="1">
        <v>28397.760775215753</v>
      </c>
      <c r="P75" s="1">
        <v>30372.268641289105</v>
      </c>
      <c r="Q75" s="1">
        <v>31018.092810368096</v>
      </c>
      <c r="R75" s="1">
        <v>26423.2529091424</v>
      </c>
      <c r="S75" s="1">
        <v>25777.428740063409</v>
      </c>
      <c r="T75" s="1">
        <v>30092.338008848437</v>
      </c>
      <c r="U75" s="1">
        <v>31107.437596788681</v>
      </c>
      <c r="V75" s="1">
        <v>26031.939657087449</v>
      </c>
      <c r="W75" s="1">
        <v>25016.840069147205</v>
      </c>
    </row>
    <row r="76" spans="1:23" x14ac:dyDescent="0.25">
      <c r="A76" s="46">
        <v>147</v>
      </c>
      <c r="B76" s="46">
        <v>75</v>
      </c>
      <c r="C76" s="46" t="s">
        <v>137</v>
      </c>
      <c r="D76" s="47" t="s">
        <v>143</v>
      </c>
      <c r="E76" s="47">
        <v>123456</v>
      </c>
      <c r="F76" s="47">
        <v>4</v>
      </c>
      <c r="G76" s="47">
        <v>29250</v>
      </c>
      <c r="H76" s="47">
        <v>29038.606685622162</v>
      </c>
      <c r="I76" s="47">
        <v>18.695548061191403</v>
      </c>
      <c r="J76" s="47">
        <v>13.153155826498836</v>
      </c>
      <c r="K76" s="1">
        <v>19.092309877863951</v>
      </c>
      <c r="L76" s="1">
        <v>13.177557298960735</v>
      </c>
      <c r="M76" s="1">
        <v>754.80925823021516</v>
      </c>
      <c r="N76" s="1">
        <v>2.8521214303275897E-2</v>
      </c>
      <c r="O76" s="1">
        <v>28406.305387354507</v>
      </c>
      <c r="P76" s="1">
        <v>30372.516449313007</v>
      </c>
      <c r="Q76" s="1">
        <v>31015.277662073517</v>
      </c>
      <c r="R76" s="1">
        <v>26440.094325396007</v>
      </c>
      <c r="S76" s="1">
        <v>25797.333112635497</v>
      </c>
      <c r="T76" s="1">
        <v>30092.338008848437</v>
      </c>
      <c r="U76" s="1">
        <v>31107.437596788681</v>
      </c>
      <c r="V76" s="1">
        <v>26031.939657087449</v>
      </c>
      <c r="W76" s="1">
        <v>25016.840069147205</v>
      </c>
    </row>
    <row r="77" spans="1:23" x14ac:dyDescent="0.25">
      <c r="A77" s="46">
        <v>150</v>
      </c>
      <c r="B77" s="46">
        <v>76</v>
      </c>
      <c r="C77" s="46" t="s">
        <v>137</v>
      </c>
      <c r="D77" s="47" t="s">
        <v>143</v>
      </c>
      <c r="E77" s="47">
        <v>123456</v>
      </c>
      <c r="F77" s="47">
        <v>4</v>
      </c>
      <c r="G77" s="47">
        <v>29250</v>
      </c>
      <c r="H77" s="47">
        <v>28592.420044390448</v>
      </c>
      <c r="I77" s="47">
        <v>23.674315278184149</v>
      </c>
      <c r="J77" s="47">
        <v>12.592138544157965</v>
      </c>
      <c r="K77" s="1">
        <v>23.905268491119863</v>
      </c>
      <c r="L77" s="1">
        <v>13.082957835920247</v>
      </c>
      <c r="M77" s="1">
        <v>609.33692020093258</v>
      </c>
      <c r="N77" s="1">
        <v>1.2626848882664913E-2</v>
      </c>
      <c r="O77" s="1">
        <v>28408.754264420768</v>
      </c>
      <c r="P77" s="1">
        <v>30361.843764836973</v>
      </c>
      <c r="Q77" s="1">
        <v>30999.978046545162</v>
      </c>
      <c r="R77" s="1">
        <v>26455.664764004563</v>
      </c>
      <c r="S77" s="1">
        <v>25817.530482296374</v>
      </c>
      <c r="T77" s="1">
        <v>30092.338008848437</v>
      </c>
      <c r="U77" s="1">
        <v>31107.437596788681</v>
      </c>
      <c r="V77" s="1">
        <v>26031.939657087449</v>
      </c>
      <c r="W77" s="1">
        <v>25016.840069147205</v>
      </c>
    </row>
    <row r="78" spans="1:23" x14ac:dyDescent="0.25">
      <c r="A78" s="46">
        <v>151</v>
      </c>
      <c r="B78" s="46">
        <v>77</v>
      </c>
      <c r="C78" s="46" t="s">
        <v>137</v>
      </c>
      <c r="D78" s="47" t="s">
        <v>143</v>
      </c>
      <c r="E78" s="47">
        <v>123456</v>
      </c>
      <c r="F78" s="47">
        <v>4</v>
      </c>
      <c r="G78" s="47">
        <v>29250</v>
      </c>
      <c r="H78" s="47">
        <v>27374.981344117652</v>
      </c>
      <c r="I78" s="47">
        <v>22.299464040116543</v>
      </c>
      <c r="J78" s="47">
        <v>13.049740565057165</v>
      </c>
      <c r="K78" s="1">
        <v>22.456236879990634</v>
      </c>
      <c r="L78" s="1">
        <v>13.154404928153667</v>
      </c>
      <c r="M78" s="1">
        <v>735.89864757827968</v>
      </c>
      <c r="N78" s="1">
        <v>7.4451321700983539E-3</v>
      </c>
      <c r="O78" s="1">
        <v>28395.32864207917</v>
      </c>
      <c r="P78" s="1">
        <v>30349.24744151513</v>
      </c>
      <c r="Q78" s="1">
        <v>30987.324164153975</v>
      </c>
      <c r="R78" s="1">
        <v>26441.40984264321</v>
      </c>
      <c r="S78" s="1">
        <v>25803.333120004365</v>
      </c>
      <c r="T78" s="1">
        <v>30092.338008848437</v>
      </c>
      <c r="U78" s="1">
        <v>31107.437596788681</v>
      </c>
      <c r="V78" s="1">
        <v>26031.939657087449</v>
      </c>
      <c r="W78" s="1">
        <v>25016.840069147205</v>
      </c>
    </row>
    <row r="79" spans="1:23" x14ac:dyDescent="0.25">
      <c r="A79" s="46">
        <v>154</v>
      </c>
      <c r="B79" s="46">
        <v>78</v>
      </c>
      <c r="C79" s="46" t="s">
        <v>137</v>
      </c>
      <c r="D79" s="47" t="s">
        <v>143</v>
      </c>
      <c r="E79" s="47">
        <v>123456</v>
      </c>
      <c r="F79" s="47">
        <v>4</v>
      </c>
      <c r="G79" s="47">
        <v>29250</v>
      </c>
      <c r="H79" s="47">
        <v>27437.477664468825</v>
      </c>
      <c r="I79" s="47">
        <v>18.15166477683049</v>
      </c>
      <c r="J79" s="47">
        <v>14.73098175638744</v>
      </c>
      <c r="K79" s="1">
        <v>18.207135210084846</v>
      </c>
      <c r="L79" s="1">
        <v>14.884739995970254</v>
      </c>
      <c r="M79" s="1">
        <v>719.76755333698077</v>
      </c>
      <c r="N79" s="1">
        <v>2.8759769957084725E-2</v>
      </c>
      <c r="O79" s="1">
        <v>28383.048501340578</v>
      </c>
      <c r="P79" s="1">
        <v>30335.809143483646</v>
      </c>
      <c r="Q79" s="1">
        <v>30973.18804131497</v>
      </c>
      <c r="R79" s="1">
        <v>26430.28785919751</v>
      </c>
      <c r="S79" s="1">
        <v>25792.908961366185</v>
      </c>
      <c r="T79" s="1">
        <v>30092.338008848437</v>
      </c>
      <c r="U79" s="1">
        <v>31107.437596788681</v>
      </c>
      <c r="V79" s="1">
        <v>26031.939657087449</v>
      </c>
      <c r="W79" s="1">
        <v>25016.840069147205</v>
      </c>
    </row>
    <row r="80" spans="1:23" x14ac:dyDescent="0.25">
      <c r="A80" s="46">
        <v>155</v>
      </c>
      <c r="B80" s="46">
        <v>79</v>
      </c>
      <c r="C80" s="46" t="s">
        <v>137</v>
      </c>
      <c r="D80" s="47" t="s">
        <v>143</v>
      </c>
      <c r="E80" s="47">
        <v>123456</v>
      </c>
      <c r="F80" s="47">
        <v>4</v>
      </c>
      <c r="G80" s="47">
        <v>29250</v>
      </c>
      <c r="H80" s="47">
        <v>28306.999145993148</v>
      </c>
      <c r="I80" s="47">
        <v>21.898286660923244</v>
      </c>
      <c r="J80" s="47">
        <v>12.12151441663848</v>
      </c>
      <c r="K80" s="1">
        <v>22.095067648194473</v>
      </c>
      <c r="L80" s="1">
        <v>12.296384011999768</v>
      </c>
      <c r="M80" s="1">
        <v>623.51799773754328</v>
      </c>
      <c r="N80" s="1">
        <v>1.0369915380672719E-2</v>
      </c>
      <c r="O80" s="1">
        <v>28382.085851272885</v>
      </c>
      <c r="P80" s="1">
        <v>30321.966323318629</v>
      </c>
      <c r="Q80" s="1">
        <v>30954.831952902568</v>
      </c>
      <c r="R80" s="1">
        <v>26442.20537922714</v>
      </c>
      <c r="S80" s="1">
        <v>25809.339749643201</v>
      </c>
      <c r="T80" s="1">
        <v>30092.338008848437</v>
      </c>
      <c r="U80" s="1">
        <v>31107.437596788681</v>
      </c>
      <c r="V80" s="1">
        <v>26031.939657087449</v>
      </c>
      <c r="W80" s="1">
        <v>25016.840069147205</v>
      </c>
    </row>
    <row r="81" spans="1:23" x14ac:dyDescent="0.25">
      <c r="A81" s="46">
        <v>158</v>
      </c>
      <c r="B81" s="46">
        <v>80</v>
      </c>
      <c r="C81" s="46" t="s">
        <v>137</v>
      </c>
      <c r="D81" s="47" t="s">
        <v>143</v>
      </c>
      <c r="E81" s="47">
        <v>123456</v>
      </c>
      <c r="F81" s="47">
        <v>4</v>
      </c>
      <c r="G81" s="47">
        <v>29250</v>
      </c>
      <c r="H81" s="47">
        <v>26757.999674115646</v>
      </c>
      <c r="I81" s="47">
        <v>19.779515289127549</v>
      </c>
      <c r="J81" s="47">
        <v>12.821840876657564</v>
      </c>
      <c r="K81" s="1">
        <v>20.008935596789328</v>
      </c>
      <c r="L81" s="1">
        <v>13.010468183909548</v>
      </c>
      <c r="M81" s="1">
        <v>722.68019305601115</v>
      </c>
      <c r="N81" s="1">
        <v>8.5532730878467335E-3</v>
      </c>
      <c r="O81" s="1">
        <v>28361.784774058422</v>
      </c>
      <c r="P81" s="1">
        <v>30322.561864662835</v>
      </c>
      <c r="Q81" s="1">
        <v>30961.940345624436</v>
      </c>
      <c r="R81" s="1">
        <v>26401.007683454009</v>
      </c>
      <c r="S81" s="1">
        <v>25761.629202492408</v>
      </c>
      <c r="T81" s="1">
        <v>30092.338008848437</v>
      </c>
      <c r="U81" s="1">
        <v>31107.437596788681</v>
      </c>
      <c r="V81" s="1">
        <v>26031.939657087449</v>
      </c>
      <c r="W81" s="1">
        <v>25016.840069147205</v>
      </c>
    </row>
    <row r="82" spans="1:23" x14ac:dyDescent="0.25">
      <c r="A82" s="46">
        <v>159</v>
      </c>
      <c r="B82" s="46">
        <v>81</v>
      </c>
      <c r="C82" s="46" t="s">
        <v>137</v>
      </c>
      <c r="D82" s="47" t="s">
        <v>143</v>
      </c>
      <c r="E82" s="47">
        <v>123456</v>
      </c>
      <c r="F82" s="47">
        <v>4</v>
      </c>
      <c r="G82" s="47">
        <v>29250</v>
      </c>
      <c r="H82" s="47">
        <v>29033.792939674651</v>
      </c>
      <c r="I82" s="47">
        <v>24.145555498367191</v>
      </c>
      <c r="J82" s="47">
        <v>14.154789366628201</v>
      </c>
      <c r="K82" s="1">
        <v>24.428156573872386</v>
      </c>
      <c r="L82" s="1">
        <v>14.544625921939906</v>
      </c>
      <c r="M82" s="1">
        <v>604.31706961055261</v>
      </c>
      <c r="N82" s="1">
        <v>2.3915041296089748E-2</v>
      </c>
      <c r="O82" s="1">
        <v>28370.081171164795</v>
      </c>
      <c r="P82" s="1">
        <v>30323.845044987032</v>
      </c>
      <c r="Q82" s="1">
        <v>30960.641002711272</v>
      </c>
      <c r="R82" s="1">
        <v>26416.317297342557</v>
      </c>
      <c r="S82" s="1">
        <v>25779.521339618317</v>
      </c>
      <c r="T82" s="1">
        <v>30092.338008848437</v>
      </c>
      <c r="U82" s="1">
        <v>31107.437596788681</v>
      </c>
      <c r="V82" s="1">
        <v>26031.939657087449</v>
      </c>
      <c r="W82" s="1">
        <v>25016.840069147205</v>
      </c>
    </row>
    <row r="83" spans="1:23" x14ac:dyDescent="0.25">
      <c r="A83" s="46">
        <v>162</v>
      </c>
      <c r="B83" s="46">
        <v>82</v>
      </c>
      <c r="C83" s="46" t="s">
        <v>137</v>
      </c>
      <c r="D83" s="47" t="s">
        <v>143</v>
      </c>
      <c r="E83" s="47">
        <v>123456</v>
      </c>
      <c r="F83" s="47">
        <v>4</v>
      </c>
      <c r="G83" s="47">
        <v>29250</v>
      </c>
      <c r="H83" s="47">
        <v>27279.867180871097</v>
      </c>
      <c r="I83" s="47">
        <v>22.056896248549521</v>
      </c>
      <c r="J83" s="47">
        <v>13.751523724342094</v>
      </c>
      <c r="K83" s="1">
        <v>22.482239775166732</v>
      </c>
      <c r="L83" s="1">
        <v>13.764739433253395</v>
      </c>
      <c r="M83" s="1">
        <v>651.69954654699313</v>
      </c>
      <c r="N83" s="1">
        <v>1.8778458225950756E-2</v>
      </c>
      <c r="O83" s="1">
        <v>28356.78587860024</v>
      </c>
      <c r="P83" s="1">
        <v>30312.807659382837</v>
      </c>
      <c r="Q83" s="1">
        <v>30950.051032245228</v>
      </c>
      <c r="R83" s="1">
        <v>26400.764097817642</v>
      </c>
      <c r="S83" s="1">
        <v>25763.520724955251</v>
      </c>
      <c r="T83" s="1">
        <v>30092.338008848437</v>
      </c>
      <c r="U83" s="1">
        <v>31107.437596788681</v>
      </c>
      <c r="V83" s="1">
        <v>26031.939657087449</v>
      </c>
      <c r="W83" s="1">
        <v>25016.840069147205</v>
      </c>
    </row>
    <row r="84" spans="1:23" x14ac:dyDescent="0.25">
      <c r="A84" s="46">
        <v>163</v>
      </c>
      <c r="B84" s="46">
        <v>83</v>
      </c>
      <c r="C84" s="46" t="s">
        <v>137</v>
      </c>
      <c r="D84" s="47" t="s">
        <v>143</v>
      </c>
      <c r="E84" s="47">
        <v>123456</v>
      </c>
      <c r="F84" s="47">
        <v>4</v>
      </c>
      <c r="G84" s="47">
        <v>29250</v>
      </c>
      <c r="H84" s="47">
        <v>27304.798480638623</v>
      </c>
      <c r="I84" s="47">
        <v>20.152933847737774</v>
      </c>
      <c r="J84" s="47">
        <v>13.357560314097086</v>
      </c>
      <c r="K84" s="1">
        <v>20.249146846516641</v>
      </c>
      <c r="L84" s="1">
        <v>13.818389852074418</v>
      </c>
      <c r="M84" s="1">
        <v>627.04858896422127</v>
      </c>
      <c r="N84" s="1">
        <v>1.375818163020062E-2</v>
      </c>
      <c r="O84" s="1">
        <v>28344.11133163685</v>
      </c>
      <c r="P84" s="1">
        <v>30301.336690991775</v>
      </c>
      <c r="Q84" s="1">
        <v>30938.690664397258</v>
      </c>
      <c r="R84" s="1">
        <v>26386.885972281925</v>
      </c>
      <c r="S84" s="1">
        <v>25749.531998876442</v>
      </c>
      <c r="T84" s="1">
        <v>30092.338008848437</v>
      </c>
      <c r="U84" s="1">
        <v>31107.437596788681</v>
      </c>
      <c r="V84" s="1">
        <v>26031.939657087449</v>
      </c>
      <c r="W84" s="1">
        <v>25016.840069147205</v>
      </c>
    </row>
    <row r="85" spans="1:23" x14ac:dyDescent="0.25">
      <c r="A85" s="46">
        <v>166</v>
      </c>
      <c r="B85" s="46">
        <v>84</v>
      </c>
      <c r="C85" s="46" t="s">
        <v>137</v>
      </c>
      <c r="D85" s="47" t="s">
        <v>143</v>
      </c>
      <c r="E85" s="47">
        <v>123456</v>
      </c>
      <c r="F85" s="47">
        <v>4</v>
      </c>
      <c r="G85" s="47">
        <v>29250</v>
      </c>
      <c r="H85" s="47">
        <v>29854.176118483418</v>
      </c>
      <c r="I85" s="47">
        <v>18.130991819347969</v>
      </c>
      <c r="J85" s="47">
        <v>14.601437425671037</v>
      </c>
      <c r="K85" s="1">
        <v>18.15753762863541</v>
      </c>
      <c r="L85" s="1">
        <v>14.666386312844644</v>
      </c>
      <c r="M85" s="1">
        <v>629.37095161376647</v>
      </c>
      <c r="N85" s="1">
        <v>1.9435193079864715E-2</v>
      </c>
      <c r="O85" s="1">
        <v>28362.088293385023</v>
      </c>
      <c r="P85" s="1">
        <v>30334.549380996956</v>
      </c>
      <c r="Q85" s="1">
        <v>30976.588012020104</v>
      </c>
      <c r="R85" s="1">
        <v>26389.627205773089</v>
      </c>
      <c r="S85" s="1">
        <v>25747.588574749941</v>
      </c>
      <c r="T85" s="1">
        <v>30092.338008848437</v>
      </c>
      <c r="U85" s="1">
        <v>31107.437596788681</v>
      </c>
      <c r="V85" s="1">
        <v>26031.939657087449</v>
      </c>
      <c r="W85" s="1">
        <v>25016.840069147205</v>
      </c>
    </row>
    <row r="86" spans="1:23" x14ac:dyDescent="0.25">
      <c r="A86" s="46">
        <v>167</v>
      </c>
      <c r="B86" s="46">
        <v>85</v>
      </c>
      <c r="C86" s="46" t="s">
        <v>137</v>
      </c>
      <c r="D86" s="47" t="s">
        <v>143</v>
      </c>
      <c r="E86" s="47">
        <v>123456</v>
      </c>
      <c r="F86" s="47">
        <v>4</v>
      </c>
      <c r="G86" s="47">
        <v>29250</v>
      </c>
      <c r="H86" s="47">
        <v>28707.571358390949</v>
      </c>
      <c r="I86" s="47">
        <v>23.70701478172273</v>
      </c>
      <c r="J86" s="47">
        <v>12.642923519076303</v>
      </c>
      <c r="K86" s="1">
        <v>23.793284601597929</v>
      </c>
      <c r="L86" s="1">
        <v>12.87422554824732</v>
      </c>
      <c r="M86" s="1">
        <v>754.04992207568125</v>
      </c>
      <c r="N86" s="1">
        <v>2.7788899608603763E-2</v>
      </c>
      <c r="O86" s="1">
        <v>28366.152800032152</v>
      </c>
      <c r="P86" s="1">
        <v>30327.908603566539</v>
      </c>
      <c r="Q86" s="1">
        <v>30966.194103473299</v>
      </c>
      <c r="R86" s="1">
        <v>26404.396996497766</v>
      </c>
      <c r="S86" s="1">
        <v>25766.111496591006</v>
      </c>
      <c r="T86" s="1">
        <v>30092.338008848437</v>
      </c>
      <c r="U86" s="1">
        <v>31107.437596788681</v>
      </c>
      <c r="V86" s="1">
        <v>26031.939657087449</v>
      </c>
      <c r="W86" s="1">
        <v>25016.840069147205</v>
      </c>
    </row>
    <row r="87" spans="1:23" x14ac:dyDescent="0.25">
      <c r="A87" s="46">
        <v>170</v>
      </c>
      <c r="B87" s="46">
        <v>86</v>
      </c>
      <c r="C87" s="46" t="s">
        <v>137</v>
      </c>
      <c r="D87" s="47" t="s">
        <v>143</v>
      </c>
      <c r="E87" s="47">
        <v>123456</v>
      </c>
      <c r="F87" s="47">
        <v>4</v>
      </c>
      <c r="G87" s="47">
        <v>29250</v>
      </c>
      <c r="H87" s="47">
        <v>27342.791009463785</v>
      </c>
      <c r="I87" s="47">
        <v>17.741705008375355</v>
      </c>
      <c r="J87" s="47">
        <v>11.935462799602696</v>
      </c>
      <c r="K87" s="1">
        <v>18.102859181341252</v>
      </c>
      <c r="L87" s="1">
        <v>12.393225007084887</v>
      </c>
      <c r="M87" s="1">
        <v>625.19279815465097</v>
      </c>
      <c r="N87" s="1">
        <v>9.1875086653123682E-3</v>
      </c>
      <c r="O87" s="1">
        <v>28354.253244327869</v>
      </c>
      <c r="P87" s="1">
        <v>30316.405842706445</v>
      </c>
      <c r="Q87" s="1">
        <v>30954.558284841485</v>
      </c>
      <c r="R87" s="1">
        <v>26392.100645949293</v>
      </c>
      <c r="S87" s="1">
        <v>25753.948203814252</v>
      </c>
      <c r="T87" s="1">
        <v>30092.338008848437</v>
      </c>
      <c r="U87" s="1">
        <v>31107.437596788681</v>
      </c>
      <c r="V87" s="1">
        <v>26031.939657087449</v>
      </c>
      <c r="W87" s="1">
        <v>25016.840069147205</v>
      </c>
    </row>
    <row r="88" spans="1:23" x14ac:dyDescent="0.25">
      <c r="A88" s="46">
        <v>171</v>
      </c>
      <c r="B88" s="46">
        <v>87</v>
      </c>
      <c r="C88" s="46" t="s">
        <v>137</v>
      </c>
      <c r="D88" s="47" t="s">
        <v>143</v>
      </c>
      <c r="E88" s="47">
        <v>123456</v>
      </c>
      <c r="F88" s="47">
        <v>4</v>
      </c>
      <c r="G88" s="47">
        <v>29250</v>
      </c>
      <c r="H88" s="47">
        <v>29529.785127733488</v>
      </c>
      <c r="I88" s="47">
        <v>22.696543039090848</v>
      </c>
      <c r="J88" s="47">
        <v>12.032350575174785</v>
      </c>
      <c r="K88" s="1">
        <v>22.759068621048876</v>
      </c>
      <c r="L88" s="1">
        <v>12.36094492510597</v>
      </c>
      <c r="M88" s="1">
        <v>639.32838078925477</v>
      </c>
      <c r="N88" s="1">
        <v>1.6681588525541059E-2</v>
      </c>
      <c r="O88" s="1">
        <v>28367.765105056667</v>
      </c>
      <c r="P88" s="1">
        <v>30334.175001208267</v>
      </c>
      <c r="Q88" s="1">
        <v>30973.45554370464</v>
      </c>
      <c r="R88" s="1">
        <v>26401.355208905068</v>
      </c>
      <c r="S88" s="1">
        <v>25762.074666408695</v>
      </c>
      <c r="T88" s="1">
        <v>30092.338008848437</v>
      </c>
      <c r="U88" s="1">
        <v>31107.437596788681</v>
      </c>
      <c r="V88" s="1">
        <v>26031.939657087449</v>
      </c>
      <c r="W88" s="1">
        <v>25016.840069147205</v>
      </c>
    </row>
    <row r="89" spans="1:23" x14ac:dyDescent="0.25">
      <c r="A89" s="46">
        <v>174</v>
      </c>
      <c r="B89" s="46">
        <v>88</v>
      </c>
      <c r="C89" s="46" t="s">
        <v>137</v>
      </c>
      <c r="D89" s="47" t="s">
        <v>143</v>
      </c>
      <c r="E89" s="47">
        <v>123456</v>
      </c>
      <c r="F89" s="47">
        <v>4</v>
      </c>
      <c r="G89" s="47">
        <v>29250</v>
      </c>
      <c r="H89" s="47">
        <v>27843.623377560005</v>
      </c>
      <c r="I89" s="47">
        <v>23.732769554312576</v>
      </c>
      <c r="J89" s="47">
        <v>14.11190744587754</v>
      </c>
      <c r="K89" s="1">
        <v>23.760642897261629</v>
      </c>
      <c r="L89" s="1">
        <v>14.324935222735295</v>
      </c>
      <c r="M89" s="1">
        <v>611.35203897180702</v>
      </c>
      <c r="N89" s="1">
        <v>1.7449642201003479E-2</v>
      </c>
      <c r="O89" s="1">
        <v>28361.80894906239</v>
      </c>
      <c r="P89" s="1">
        <v>30319.716567375457</v>
      </c>
      <c r="Q89" s="1">
        <v>30955.983602396591</v>
      </c>
      <c r="R89" s="1">
        <v>26403.901330749322</v>
      </c>
      <c r="S89" s="1">
        <v>25767.634295728189</v>
      </c>
      <c r="T89" s="1">
        <v>30092.338008848437</v>
      </c>
      <c r="U89" s="1">
        <v>31107.437596788681</v>
      </c>
      <c r="V89" s="1">
        <v>26031.939657087449</v>
      </c>
      <c r="W89" s="1">
        <v>25016.840069147205</v>
      </c>
    </row>
    <row r="90" spans="1:23" x14ac:dyDescent="0.25">
      <c r="A90" s="46">
        <v>175</v>
      </c>
      <c r="B90" s="46">
        <v>89</v>
      </c>
      <c r="C90" s="46" t="s">
        <v>137</v>
      </c>
      <c r="D90" s="47" t="s">
        <v>143</v>
      </c>
      <c r="E90" s="47">
        <v>123456</v>
      </c>
      <c r="F90" s="47">
        <v>4</v>
      </c>
      <c r="G90" s="47">
        <v>29250</v>
      </c>
      <c r="H90" s="47">
        <v>29789.97465848281</v>
      </c>
      <c r="I90" s="47">
        <v>19.008028845345024</v>
      </c>
      <c r="J90" s="47">
        <v>14.292278370542224</v>
      </c>
      <c r="K90" s="1">
        <v>19.215901469471969</v>
      </c>
      <c r="L90" s="1">
        <v>14.352586753285093</v>
      </c>
      <c r="M90" s="1">
        <v>660.4012085858601</v>
      </c>
      <c r="N90" s="1">
        <v>1.6952568386725007E-2</v>
      </c>
      <c r="O90" s="1">
        <v>28377.855754786215</v>
      </c>
      <c r="P90" s="1">
        <v>30347.407793376973</v>
      </c>
      <c r="Q90" s="1">
        <v>30987.213860401196</v>
      </c>
      <c r="R90" s="1">
        <v>26408.303716195456</v>
      </c>
      <c r="S90" s="1">
        <v>25768.497649171233</v>
      </c>
      <c r="T90" s="1">
        <v>30092.338008848437</v>
      </c>
      <c r="U90" s="1">
        <v>31107.437596788681</v>
      </c>
      <c r="V90" s="1">
        <v>26031.939657087449</v>
      </c>
      <c r="W90" s="1">
        <v>25016.840069147205</v>
      </c>
    </row>
    <row r="91" spans="1:23" x14ac:dyDescent="0.25">
      <c r="A91" s="46">
        <v>178</v>
      </c>
      <c r="B91" s="46">
        <v>90</v>
      </c>
      <c r="C91" s="46" t="s">
        <v>137</v>
      </c>
      <c r="D91" s="47" t="s">
        <v>143</v>
      </c>
      <c r="E91" s="47">
        <v>123456</v>
      </c>
      <c r="F91" s="47">
        <v>4</v>
      </c>
      <c r="G91" s="47">
        <v>29250</v>
      </c>
      <c r="H91" s="47">
        <v>26922.159896788646</v>
      </c>
      <c r="I91" s="47">
        <v>18.49822754910296</v>
      </c>
      <c r="J91" s="47">
        <v>12.432133131265896</v>
      </c>
      <c r="K91" s="1">
        <v>18.856353408725816</v>
      </c>
      <c r="L91" s="1">
        <v>12.534146849901965</v>
      </c>
      <c r="M91" s="1">
        <v>659.25403310160391</v>
      </c>
      <c r="N91" s="1">
        <v>2.7552270465917218E-2</v>
      </c>
      <c r="O91" s="1">
        <v>28361.681356364017</v>
      </c>
      <c r="P91" s="1">
        <v>30343.424548453571</v>
      </c>
      <c r="Q91" s="1">
        <v>30986.949929900482</v>
      </c>
      <c r="R91" s="1">
        <v>26379.938164274463</v>
      </c>
      <c r="S91" s="1">
        <v>25736.412782827552</v>
      </c>
      <c r="T91" s="1">
        <v>30092.338008848437</v>
      </c>
      <c r="U91" s="1">
        <v>31107.437596788681</v>
      </c>
      <c r="V91" s="1">
        <v>26031.939657087449</v>
      </c>
      <c r="W91" s="1">
        <v>25016.840069147205</v>
      </c>
    </row>
    <row r="92" spans="1:23" x14ac:dyDescent="0.25">
      <c r="A92" s="46">
        <v>179</v>
      </c>
      <c r="B92" s="46">
        <v>91</v>
      </c>
      <c r="C92" s="46" t="s">
        <v>137</v>
      </c>
      <c r="D92" s="47" t="s">
        <v>143</v>
      </c>
      <c r="E92" s="47">
        <v>123456</v>
      </c>
      <c r="F92" s="47">
        <v>4</v>
      </c>
      <c r="G92" s="47">
        <v>29250</v>
      </c>
      <c r="H92" s="47">
        <v>29000.459207009215</v>
      </c>
      <c r="I92" s="47">
        <v>21.637698126676312</v>
      </c>
      <c r="J92" s="47">
        <v>14.812841941628124</v>
      </c>
      <c r="K92" s="1">
        <v>21.71989596048374</v>
      </c>
      <c r="L92" s="1">
        <v>14.932072890676963</v>
      </c>
      <c r="M92" s="1">
        <v>613.30724327733151</v>
      </c>
      <c r="N92" s="1">
        <v>1.5310428546967807E-2</v>
      </c>
      <c r="O92" s="1">
        <v>28368.700893184294</v>
      </c>
      <c r="P92" s="1">
        <v>30343.587709230687</v>
      </c>
      <c r="Q92" s="1">
        <v>30984.65194334674</v>
      </c>
      <c r="R92" s="1">
        <v>26393.8140771379</v>
      </c>
      <c r="S92" s="1">
        <v>25752.749843021847</v>
      </c>
      <c r="T92" s="1">
        <v>30092.338008848437</v>
      </c>
      <c r="U92" s="1">
        <v>31107.437596788681</v>
      </c>
      <c r="V92" s="1">
        <v>26031.939657087449</v>
      </c>
      <c r="W92" s="1">
        <v>25016.840069147205</v>
      </c>
    </row>
    <row r="93" spans="1:23" x14ac:dyDescent="0.25">
      <c r="A93" s="46">
        <v>182</v>
      </c>
      <c r="B93" s="46">
        <v>92</v>
      </c>
      <c r="C93" s="46" t="s">
        <v>137</v>
      </c>
      <c r="D93" s="47" t="s">
        <v>143</v>
      </c>
      <c r="E93" s="47">
        <v>123456</v>
      </c>
      <c r="F93" s="47">
        <v>4</v>
      </c>
      <c r="G93" s="47">
        <v>29250</v>
      </c>
      <c r="H93" s="47">
        <v>29538.474206680607</v>
      </c>
      <c r="I93" s="47">
        <v>19.069653175393434</v>
      </c>
      <c r="J93" s="47">
        <v>14.594384835029148</v>
      </c>
      <c r="K93" s="1">
        <v>19.206865032423725</v>
      </c>
      <c r="L93" s="1">
        <v>14.813336864640412</v>
      </c>
      <c r="M93" s="1">
        <v>797.37234805226058</v>
      </c>
      <c r="N93" s="1">
        <v>1.3027450215826804E-2</v>
      </c>
      <c r="O93" s="1">
        <v>28381.415820504903</v>
      </c>
      <c r="P93" s="1">
        <v>30360.013992285258</v>
      </c>
      <c r="Q93" s="1">
        <v>31002.053084321105</v>
      </c>
      <c r="R93" s="1">
        <v>26402.817648724547</v>
      </c>
      <c r="S93" s="1">
        <v>25760.7785566887</v>
      </c>
      <c r="T93" s="1">
        <v>30092.338008848437</v>
      </c>
      <c r="U93" s="1">
        <v>31107.437596788681</v>
      </c>
      <c r="V93" s="1">
        <v>26031.939657087449</v>
      </c>
      <c r="W93" s="1">
        <v>25016.840069147205</v>
      </c>
    </row>
    <row r="94" spans="1:23" x14ac:dyDescent="0.25">
      <c r="A94" s="46">
        <v>183</v>
      </c>
      <c r="B94" s="46">
        <v>93</v>
      </c>
      <c r="C94" s="46" t="s">
        <v>137</v>
      </c>
      <c r="D94" s="47" t="s">
        <v>143</v>
      </c>
      <c r="E94" s="47">
        <v>123456</v>
      </c>
      <c r="F94" s="47">
        <v>4</v>
      </c>
      <c r="G94" s="47">
        <v>29250</v>
      </c>
      <c r="H94" s="47">
        <v>28980.250481952982</v>
      </c>
      <c r="I94" s="47">
        <v>23.594805783843583</v>
      </c>
      <c r="J94" s="47">
        <v>12.659919735907303</v>
      </c>
      <c r="K94" s="1">
        <v>24.038604832380717</v>
      </c>
      <c r="L94" s="1">
        <v>12.952821923510639</v>
      </c>
      <c r="M94" s="1">
        <v>610.77813628932608</v>
      </c>
      <c r="N94" s="1">
        <v>2.1250403057016469E-2</v>
      </c>
      <c r="O94" s="1">
        <v>28387.854902886065</v>
      </c>
      <c r="P94" s="1">
        <v>30359.243773146878</v>
      </c>
      <c r="Q94" s="1">
        <v>30998.719531827468</v>
      </c>
      <c r="R94" s="1">
        <v>26416.466032625252</v>
      </c>
      <c r="S94" s="1">
        <v>25776.990273944662</v>
      </c>
      <c r="T94" s="1">
        <v>30092.338008848437</v>
      </c>
      <c r="U94" s="1">
        <v>31107.437596788681</v>
      </c>
      <c r="V94" s="1">
        <v>26031.939657087449</v>
      </c>
      <c r="W94" s="1">
        <v>25016.840069147205</v>
      </c>
    </row>
    <row r="95" spans="1:23" x14ac:dyDescent="0.25">
      <c r="A95" s="46">
        <v>186</v>
      </c>
      <c r="B95" s="46">
        <v>94</v>
      </c>
      <c r="C95" s="46" t="s">
        <v>137</v>
      </c>
      <c r="D95" s="47" t="s">
        <v>143</v>
      </c>
      <c r="E95" s="47">
        <v>123456</v>
      </c>
      <c r="F95" s="47">
        <v>4</v>
      </c>
      <c r="G95" s="47">
        <v>29250</v>
      </c>
      <c r="H95" s="47">
        <v>29170.951832167957</v>
      </c>
      <c r="I95" s="47">
        <v>24.011182834487329</v>
      </c>
      <c r="J95" s="47">
        <v>14.070087596964562</v>
      </c>
      <c r="K95" s="1">
        <v>24.332803086311834</v>
      </c>
      <c r="L95" s="1">
        <v>14.162625371631041</v>
      </c>
      <c r="M95" s="1">
        <v>619.46259385722783</v>
      </c>
      <c r="N95" s="1">
        <v>1.7432401891863257E-2</v>
      </c>
      <c r="O95" s="1">
        <v>28396.18572128268</v>
      </c>
      <c r="P95" s="1">
        <v>30363.216451250548</v>
      </c>
      <c r="Q95" s="1">
        <v>31001.059935673667</v>
      </c>
      <c r="R95" s="1">
        <v>26429.154991314812</v>
      </c>
      <c r="S95" s="1">
        <v>25791.311506891692</v>
      </c>
      <c r="T95" s="1">
        <v>30092.338008848437</v>
      </c>
      <c r="U95" s="1">
        <v>31107.437596788681</v>
      </c>
      <c r="V95" s="1">
        <v>26031.939657087449</v>
      </c>
      <c r="W95" s="1">
        <v>25016.840069147205</v>
      </c>
    </row>
    <row r="96" spans="1:23" x14ac:dyDescent="0.25">
      <c r="A96" s="46">
        <v>187</v>
      </c>
      <c r="B96" s="46">
        <v>95</v>
      </c>
      <c r="C96" s="46" t="s">
        <v>137</v>
      </c>
      <c r="D96" s="47" t="s">
        <v>143</v>
      </c>
      <c r="E96" s="47">
        <v>123456</v>
      </c>
      <c r="F96" s="47">
        <v>4</v>
      </c>
      <c r="G96" s="47">
        <v>29250</v>
      </c>
      <c r="H96" s="47">
        <v>29910.586990642703</v>
      </c>
      <c r="I96" s="47">
        <v>21.517084297142304</v>
      </c>
      <c r="J96" s="47">
        <v>12.67599661438323</v>
      </c>
      <c r="K96" s="1">
        <v>21.634685521672591</v>
      </c>
      <c r="L96" s="1">
        <v>12.787675633793741</v>
      </c>
      <c r="M96" s="1">
        <v>733.31417549569005</v>
      </c>
      <c r="N96" s="1">
        <v>1.6627857062454291E-2</v>
      </c>
      <c r="O96" s="1">
        <v>28412.126787275942</v>
      </c>
      <c r="P96" s="1">
        <v>30392.567832992172</v>
      </c>
      <c r="Q96" s="1">
        <v>31034.544527741575</v>
      </c>
      <c r="R96" s="1">
        <v>26431.685741559711</v>
      </c>
      <c r="S96" s="1">
        <v>25789.709046810309</v>
      </c>
      <c r="T96" s="1">
        <v>30092.338008848437</v>
      </c>
      <c r="U96" s="1">
        <v>31107.437596788681</v>
      </c>
      <c r="V96" s="1">
        <v>26031.939657087449</v>
      </c>
      <c r="W96" s="1">
        <v>25016.840069147205</v>
      </c>
    </row>
    <row r="97" spans="1:23" x14ac:dyDescent="0.25">
      <c r="A97" s="46">
        <v>190</v>
      </c>
      <c r="B97" s="46">
        <v>96</v>
      </c>
      <c r="C97" s="46" t="s">
        <v>137</v>
      </c>
      <c r="D97" s="47" t="s">
        <v>143</v>
      </c>
      <c r="E97" s="47">
        <v>123456</v>
      </c>
      <c r="F97" s="47">
        <v>4</v>
      </c>
      <c r="G97" s="47">
        <v>29250</v>
      </c>
      <c r="H97" s="47">
        <v>29004.13709753253</v>
      </c>
      <c r="I97" s="47">
        <v>24.397977868920144</v>
      </c>
      <c r="J97" s="47">
        <v>12.279757496860933</v>
      </c>
      <c r="K97" s="1">
        <v>24.785736863890556</v>
      </c>
      <c r="L97" s="1">
        <v>12.731633530632413</v>
      </c>
      <c r="M97" s="1">
        <v>698.80421548952563</v>
      </c>
      <c r="N97" s="1">
        <v>2.0791780694891789E-2</v>
      </c>
      <c r="O97" s="1">
        <v>28418.293561341114</v>
      </c>
      <c r="P97" s="1">
        <v>30391.662416017356</v>
      </c>
      <c r="Q97" s="1">
        <v>31031.136648549262</v>
      </c>
      <c r="R97" s="1">
        <v>26444.924706664871</v>
      </c>
      <c r="S97" s="1">
        <v>25805.450474132966</v>
      </c>
      <c r="T97" s="1">
        <v>30092.338008848437</v>
      </c>
      <c r="U97" s="1">
        <v>31107.437596788681</v>
      </c>
      <c r="V97" s="1">
        <v>26031.939657087449</v>
      </c>
      <c r="W97" s="1">
        <v>25016.840069147205</v>
      </c>
    </row>
    <row r="98" spans="1:23" x14ac:dyDescent="0.25">
      <c r="A98" s="46">
        <v>191</v>
      </c>
      <c r="B98" s="46">
        <v>97</v>
      </c>
      <c r="C98" s="46" t="s">
        <v>137</v>
      </c>
      <c r="D98" s="47" t="s">
        <v>143</v>
      </c>
      <c r="E98" s="47">
        <v>123456</v>
      </c>
      <c r="F98" s="47">
        <v>4</v>
      </c>
      <c r="G98" s="47">
        <v>29250</v>
      </c>
      <c r="H98" s="47">
        <v>26914.737655821122</v>
      </c>
      <c r="I98" s="47">
        <v>24.563892108399983</v>
      </c>
      <c r="J98" s="47">
        <v>13.875696677206694</v>
      </c>
      <c r="K98" s="1">
        <v>24.565353886211092</v>
      </c>
      <c r="L98" s="1">
        <v>14.134706615207367</v>
      </c>
      <c r="M98" s="1">
        <v>685.77913233498862</v>
      </c>
      <c r="N98" s="1">
        <v>1.6149280476717341E-2</v>
      </c>
      <c r="O98" s="1">
        <v>28402.792984995551</v>
      </c>
      <c r="P98" s="1">
        <v>30388.847939835738</v>
      </c>
      <c r="Q98" s="1">
        <v>31032.226304495434</v>
      </c>
      <c r="R98" s="1">
        <v>26416.738030155364</v>
      </c>
      <c r="S98" s="1">
        <v>25773.359665495667</v>
      </c>
      <c r="T98" s="1">
        <v>30092.338008848437</v>
      </c>
      <c r="U98" s="1">
        <v>31107.437596788681</v>
      </c>
      <c r="V98" s="1">
        <v>26031.939657087449</v>
      </c>
      <c r="W98" s="1">
        <v>25016.840069147205</v>
      </c>
    </row>
    <row r="99" spans="1:23" x14ac:dyDescent="0.25">
      <c r="A99" s="46">
        <v>194</v>
      </c>
      <c r="B99" s="46">
        <v>98</v>
      </c>
      <c r="C99" s="46" t="s">
        <v>137</v>
      </c>
      <c r="D99" s="47" t="s">
        <v>143</v>
      </c>
      <c r="E99" s="47">
        <v>123456</v>
      </c>
      <c r="F99" s="47">
        <v>4</v>
      </c>
      <c r="G99" s="47">
        <v>29250</v>
      </c>
      <c r="H99" s="47">
        <v>28166.062228075094</v>
      </c>
      <c r="I99" s="47">
        <v>20.463984627475906</v>
      </c>
      <c r="J99" s="47">
        <v>11.879312209572889</v>
      </c>
      <c r="K99" s="1">
        <v>20.515037929441796</v>
      </c>
      <c r="L99" s="1">
        <v>12.257585066373229</v>
      </c>
      <c r="M99" s="1">
        <v>665.27088678749828</v>
      </c>
      <c r="N99" s="1">
        <v>1.436096845011519E-2</v>
      </c>
      <c r="O99" s="1">
        <v>28400.377365026976</v>
      </c>
      <c r="P99" s="1">
        <v>30376.478526875719</v>
      </c>
      <c r="Q99" s="1">
        <v>31016.430907171234</v>
      </c>
      <c r="R99" s="1">
        <v>26424.276203178233</v>
      </c>
      <c r="S99" s="1">
        <v>25784.323822882718</v>
      </c>
      <c r="T99" s="1">
        <v>30092.338008848437</v>
      </c>
      <c r="U99" s="1">
        <v>31107.437596788681</v>
      </c>
      <c r="V99" s="1">
        <v>26031.939657087449</v>
      </c>
      <c r="W99" s="1">
        <v>25016.840069147205</v>
      </c>
    </row>
    <row r="100" spans="1:23" x14ac:dyDescent="0.25">
      <c r="A100" s="46">
        <v>195</v>
      </c>
      <c r="B100" s="46">
        <v>99</v>
      </c>
      <c r="C100" s="46" t="s">
        <v>137</v>
      </c>
      <c r="D100" s="47" t="s">
        <v>143</v>
      </c>
      <c r="E100" s="47">
        <v>123456</v>
      </c>
      <c r="F100" s="47">
        <v>4</v>
      </c>
      <c r="G100" s="47">
        <v>29250</v>
      </c>
      <c r="H100" s="47">
        <v>29077.494304413158</v>
      </c>
      <c r="I100" s="47">
        <v>23.359659492066733</v>
      </c>
      <c r="J100" s="47">
        <v>14.001904442132798</v>
      </c>
      <c r="K100" s="1">
        <v>23.804711354283825</v>
      </c>
      <c r="L100" s="1">
        <v>14.159912888123728</v>
      </c>
      <c r="M100" s="1">
        <v>783.26344577347447</v>
      </c>
      <c r="N100" s="1">
        <v>7.7788559410297197E-3</v>
      </c>
      <c r="O100" s="1">
        <v>28407.216930071278</v>
      </c>
      <c r="P100" s="1">
        <v>30377.590309162639</v>
      </c>
      <c r="Q100" s="1">
        <v>31015.4910481609</v>
      </c>
      <c r="R100" s="1">
        <v>26436.843550979916</v>
      </c>
      <c r="S100" s="1">
        <v>25798.942811981655</v>
      </c>
      <c r="T100" s="1">
        <v>30092.338008848437</v>
      </c>
      <c r="U100" s="1">
        <v>31107.437596788681</v>
      </c>
      <c r="V100" s="1">
        <v>26031.939657087449</v>
      </c>
      <c r="W100" s="1">
        <v>25016.840069147205</v>
      </c>
    </row>
    <row r="101" spans="1:23" x14ac:dyDescent="0.25">
      <c r="A101" s="46">
        <v>198</v>
      </c>
      <c r="B101" s="46">
        <v>100</v>
      </c>
      <c r="C101" s="46" t="s">
        <v>137</v>
      </c>
      <c r="D101" s="47" t="s">
        <v>143</v>
      </c>
      <c r="E101" s="47">
        <v>123456</v>
      </c>
      <c r="F101" s="47">
        <v>4</v>
      </c>
      <c r="G101" s="47">
        <v>29250</v>
      </c>
      <c r="H101" s="47">
        <v>28917.193208734861</v>
      </c>
      <c r="I101" s="47">
        <v>18.312466485946207</v>
      </c>
      <c r="J101" s="47">
        <v>14.11417076924141</v>
      </c>
      <c r="K101" s="1">
        <v>18.648598453157618</v>
      </c>
      <c r="L101" s="1">
        <v>14.269122887560741</v>
      </c>
      <c r="M101" s="1">
        <v>651.81621369415939</v>
      </c>
      <c r="N101" s="1">
        <v>8.0201030682773879E-3</v>
      </c>
      <c r="O101" s="1">
        <v>28412.316692857916</v>
      </c>
      <c r="P101" s="1">
        <v>30375.076146939551</v>
      </c>
      <c r="Q101" s="1">
        <v>31010.3199693686</v>
      </c>
      <c r="R101" s="1">
        <v>26449.55723877628</v>
      </c>
      <c r="S101" s="1">
        <v>25814.313416347231</v>
      </c>
      <c r="T101" s="1">
        <v>30092.338008848437</v>
      </c>
      <c r="U101" s="1">
        <v>31107.437596788681</v>
      </c>
      <c r="V101" s="1">
        <v>26031.939657087449</v>
      </c>
      <c r="W101" s="1">
        <v>25016.840069147205</v>
      </c>
    </row>
    <row r="102" spans="1:23" x14ac:dyDescent="0.25">
      <c r="A102" s="46">
        <v>199</v>
      </c>
      <c r="B102" s="46">
        <v>101</v>
      </c>
      <c r="C102" s="46" t="s">
        <v>137</v>
      </c>
      <c r="D102" s="47" t="s">
        <v>143</v>
      </c>
      <c r="E102" s="47">
        <v>123456</v>
      </c>
      <c r="F102" s="47">
        <v>4</v>
      </c>
      <c r="G102" s="47">
        <v>29250</v>
      </c>
      <c r="H102" s="47">
        <v>28576.107847635965</v>
      </c>
      <c r="I102" s="47">
        <v>22.386981421102035</v>
      </c>
      <c r="J102" s="47">
        <v>14.041759639297638</v>
      </c>
      <c r="K102" s="1">
        <v>22.769519521903298</v>
      </c>
      <c r="L102" s="1">
        <v>14.47515738252102</v>
      </c>
      <c r="M102" s="1">
        <v>605.47105017326749</v>
      </c>
      <c r="N102" s="1">
        <v>1.5368223849341455E-2</v>
      </c>
      <c r="O102" s="1">
        <v>28413.938387459679</v>
      </c>
      <c r="P102" s="1">
        <v>30366.88551898388</v>
      </c>
      <c r="Q102" s="1">
        <v>30998.766503014143</v>
      </c>
      <c r="R102" s="1">
        <v>26460.991255935478</v>
      </c>
      <c r="S102" s="1">
        <v>25829.110271905214</v>
      </c>
      <c r="T102" s="1">
        <v>30092.338008848437</v>
      </c>
      <c r="U102" s="1">
        <v>31107.437596788681</v>
      </c>
      <c r="V102" s="1">
        <v>26031.939657087449</v>
      </c>
      <c r="W102" s="1">
        <v>25016.840069147205</v>
      </c>
    </row>
    <row r="103" spans="1:23" x14ac:dyDescent="0.25">
      <c r="A103" s="46">
        <v>202</v>
      </c>
      <c r="B103" s="46">
        <v>102</v>
      </c>
      <c r="C103" s="46" t="s">
        <v>137</v>
      </c>
      <c r="D103" s="47" t="s">
        <v>143</v>
      </c>
      <c r="E103" s="47">
        <v>123456</v>
      </c>
      <c r="F103" s="47">
        <v>4</v>
      </c>
      <c r="G103" s="47">
        <v>29250</v>
      </c>
      <c r="H103" s="47">
        <v>28090.19987978294</v>
      </c>
      <c r="I103" s="47">
        <v>21.03281854416306</v>
      </c>
      <c r="J103" s="47">
        <v>13.518653628951126</v>
      </c>
      <c r="K103" s="1">
        <v>21.450096236612115</v>
      </c>
      <c r="L103" s="1">
        <v>13.949665833421063</v>
      </c>
      <c r="M103" s="1">
        <v>798.17367884028124</v>
      </c>
      <c r="N103" s="1">
        <v>1.7504289533382358E-2</v>
      </c>
      <c r="O103" s="1">
        <v>28410.76448052167</v>
      </c>
      <c r="P103" s="1">
        <v>30354.824160612789</v>
      </c>
      <c r="Q103" s="1">
        <v>30983.647089597504</v>
      </c>
      <c r="R103" s="1">
        <v>26466.704800430551</v>
      </c>
      <c r="S103" s="1">
        <v>25837.881871445836</v>
      </c>
      <c r="T103" s="1">
        <v>30092.338008848437</v>
      </c>
      <c r="U103" s="1">
        <v>31107.437596788681</v>
      </c>
      <c r="V103" s="1">
        <v>26031.939657087449</v>
      </c>
      <c r="W103" s="1">
        <v>25016.840069147205</v>
      </c>
    </row>
    <row r="104" spans="1:23" x14ac:dyDescent="0.25">
      <c r="A104" s="46">
        <v>203</v>
      </c>
      <c r="B104" s="46">
        <v>103</v>
      </c>
      <c r="C104" s="46" t="s">
        <v>137</v>
      </c>
      <c r="D104" s="47" t="s">
        <v>143</v>
      </c>
      <c r="E104" s="47">
        <v>123456</v>
      </c>
      <c r="F104" s="47">
        <v>4</v>
      </c>
      <c r="G104" s="47">
        <v>29250</v>
      </c>
      <c r="H104" s="47">
        <v>29620.105844447746</v>
      </c>
      <c r="I104" s="47">
        <v>18.775491650092288</v>
      </c>
      <c r="J104" s="47">
        <v>13.209016290361674</v>
      </c>
      <c r="K104" s="1">
        <v>18.942527058231171</v>
      </c>
      <c r="L104" s="1">
        <v>13.560765873976235</v>
      </c>
      <c r="M104" s="1">
        <v>684.5522169427411</v>
      </c>
      <c r="N104" s="1">
        <v>1.3763114205199852E-2</v>
      </c>
      <c r="O104" s="1">
        <v>28422.505658812213</v>
      </c>
      <c r="P104" s="1">
        <v>30371.169002832939</v>
      </c>
      <c r="Q104" s="1">
        <v>31001.30174106294</v>
      </c>
      <c r="R104" s="1">
        <v>26473.842314791487</v>
      </c>
      <c r="S104" s="1">
        <v>25843.709576561487</v>
      </c>
      <c r="T104" s="1">
        <v>30092.338008848437</v>
      </c>
      <c r="U104" s="1">
        <v>31107.437596788681</v>
      </c>
      <c r="V104" s="1">
        <v>26031.939657087449</v>
      </c>
      <c r="W104" s="1">
        <v>25016.840069147205</v>
      </c>
    </row>
    <row r="105" spans="1:23" x14ac:dyDescent="0.25">
      <c r="A105" s="46">
        <v>206</v>
      </c>
      <c r="B105" s="46">
        <v>104</v>
      </c>
      <c r="C105" s="46" t="s">
        <v>137</v>
      </c>
      <c r="D105" s="47" t="s">
        <v>143</v>
      </c>
      <c r="E105" s="47">
        <v>123456</v>
      </c>
      <c r="F105" s="47">
        <v>4</v>
      </c>
      <c r="G105" s="47">
        <v>29250</v>
      </c>
      <c r="H105" s="47">
        <v>27180.995576579753</v>
      </c>
      <c r="I105" s="47">
        <v>22.985025792101222</v>
      </c>
      <c r="J105" s="47">
        <v>11.988564051432714</v>
      </c>
      <c r="K105" s="1">
        <v>23.274620145851813</v>
      </c>
      <c r="L105" s="1">
        <v>12.400143016677008</v>
      </c>
      <c r="M105" s="1">
        <v>694.75661501379693</v>
      </c>
      <c r="N105" s="1">
        <v>8.8188999192507118E-3</v>
      </c>
      <c r="O105" s="1">
        <v>28410.568061867671</v>
      </c>
      <c r="P105" s="1">
        <v>30364.497506510765</v>
      </c>
      <c r="Q105" s="1">
        <v>30996.156901734885</v>
      </c>
      <c r="R105" s="1">
        <v>26456.638617224577</v>
      </c>
      <c r="S105" s="1">
        <v>25824.979222000457</v>
      </c>
      <c r="T105" s="1">
        <v>30092.338008848437</v>
      </c>
      <c r="U105" s="1">
        <v>31107.437596788681</v>
      </c>
      <c r="V105" s="1">
        <v>26031.939657087449</v>
      </c>
      <c r="W105" s="1">
        <v>25016.840069147205</v>
      </c>
    </row>
    <row r="106" spans="1:23" x14ac:dyDescent="0.25">
      <c r="A106" s="46">
        <v>207</v>
      </c>
      <c r="B106" s="46">
        <v>105</v>
      </c>
      <c r="C106" s="46" t="s">
        <v>137</v>
      </c>
      <c r="D106" s="47" t="s">
        <v>143</v>
      </c>
      <c r="E106" s="47">
        <v>123456</v>
      </c>
      <c r="F106" s="47">
        <v>4</v>
      </c>
      <c r="G106" s="47">
        <v>29250</v>
      </c>
      <c r="H106" s="47">
        <v>28700.489561928087</v>
      </c>
      <c r="I106" s="47">
        <v>22.957358746636999</v>
      </c>
      <c r="J106" s="47">
        <v>12.192001949838382</v>
      </c>
      <c r="K106" s="1">
        <v>23.416616446872588</v>
      </c>
      <c r="L106" s="1">
        <v>12.597400721441812</v>
      </c>
      <c r="M106" s="1">
        <v>730.53023010921606</v>
      </c>
      <c r="N106" s="1">
        <v>1.749015821901146E-2</v>
      </c>
      <c r="O106" s="1">
        <v>28413.329219011102</v>
      </c>
      <c r="P106" s="1">
        <v>30358.429269864966</v>
      </c>
      <c r="Q106" s="1">
        <v>30987.06232835917</v>
      </c>
      <c r="R106" s="1">
        <v>26468.229168157239</v>
      </c>
      <c r="S106" s="1">
        <v>25839.596109663034</v>
      </c>
      <c r="T106" s="1">
        <v>30092.338008848437</v>
      </c>
      <c r="U106" s="1">
        <v>31107.437596788681</v>
      </c>
      <c r="V106" s="1">
        <v>26031.939657087449</v>
      </c>
      <c r="W106" s="1">
        <v>25016.840069147205</v>
      </c>
    </row>
    <row r="107" spans="1:23" x14ac:dyDescent="0.25">
      <c r="A107" s="46">
        <v>210</v>
      </c>
      <c r="B107" s="46">
        <v>106</v>
      </c>
      <c r="C107" s="46" t="s">
        <v>137</v>
      </c>
      <c r="D107" s="47" t="s">
        <v>143</v>
      </c>
      <c r="E107" s="47">
        <v>123456</v>
      </c>
      <c r="F107" s="47">
        <v>4</v>
      </c>
      <c r="G107" s="47">
        <v>29250</v>
      </c>
      <c r="H107" s="47">
        <v>27735.366226518552</v>
      </c>
      <c r="I107" s="47">
        <v>23.108012463301826</v>
      </c>
      <c r="J107" s="47">
        <v>13.387151081264653</v>
      </c>
      <c r="K107" s="1">
        <v>23.557447411278993</v>
      </c>
      <c r="L107" s="1">
        <v>13.399417373443288</v>
      </c>
      <c r="M107" s="1">
        <v>732.11186248858257</v>
      </c>
      <c r="N107" s="1">
        <v>2.8599706935964413E-2</v>
      </c>
      <c r="O107" s="1">
        <v>28406.933341723437</v>
      </c>
      <c r="P107" s="1">
        <v>30346.930671190592</v>
      </c>
      <c r="Q107" s="1">
        <v>30973.746359181354</v>
      </c>
      <c r="R107" s="1">
        <v>26466.936012256283</v>
      </c>
      <c r="S107" s="1">
        <v>25840.120324265521</v>
      </c>
      <c r="T107" s="1">
        <v>30092.338008848437</v>
      </c>
      <c r="U107" s="1">
        <v>31107.437596788681</v>
      </c>
      <c r="V107" s="1">
        <v>26031.939657087449</v>
      </c>
      <c r="W107" s="1">
        <v>25016.840069147205</v>
      </c>
    </row>
    <row r="108" spans="1:23" x14ac:dyDescent="0.25">
      <c r="A108" s="46">
        <v>213</v>
      </c>
      <c r="B108" s="46">
        <v>107</v>
      </c>
      <c r="C108" s="46" t="s">
        <v>137</v>
      </c>
      <c r="D108" s="47" t="s">
        <v>143</v>
      </c>
      <c r="E108" s="47">
        <v>123456</v>
      </c>
      <c r="F108" s="47">
        <v>4</v>
      </c>
      <c r="G108" s="47">
        <v>29250</v>
      </c>
      <c r="H108" s="47">
        <v>29223.099044672563</v>
      </c>
      <c r="I108" s="47">
        <v>19.382675020473901</v>
      </c>
      <c r="J108" s="47">
        <v>14.256299991198677</v>
      </c>
      <c r="K108" s="1">
        <v>19.715572821569815</v>
      </c>
      <c r="L108" s="1">
        <v>14.429481704408108</v>
      </c>
      <c r="M108" s="1">
        <v>721.22950023308999</v>
      </c>
      <c r="N108" s="1">
        <v>9.3909288569753429E-3</v>
      </c>
      <c r="O108" s="1">
        <v>28414.561058573428</v>
      </c>
      <c r="P108" s="1">
        <v>30351.500592165889</v>
      </c>
      <c r="Q108" s="1">
        <v>30977.163553322574</v>
      </c>
      <c r="R108" s="1">
        <v>26477.621524980968</v>
      </c>
      <c r="S108" s="1">
        <v>25851.958563824282</v>
      </c>
      <c r="T108" s="1">
        <v>30092.338008848437</v>
      </c>
      <c r="U108" s="1">
        <v>31107.437596788681</v>
      </c>
      <c r="V108" s="1">
        <v>26031.939657087449</v>
      </c>
      <c r="W108" s="1">
        <v>25016.840069147205</v>
      </c>
    </row>
    <row r="109" spans="1:23" x14ac:dyDescent="0.25">
      <c r="A109" s="46">
        <v>214</v>
      </c>
      <c r="B109" s="46">
        <v>108</v>
      </c>
      <c r="C109" s="46" t="s">
        <v>137</v>
      </c>
      <c r="D109" s="47" t="s">
        <v>143</v>
      </c>
      <c r="E109" s="47">
        <v>123456</v>
      </c>
      <c r="F109" s="47">
        <v>4</v>
      </c>
      <c r="G109" s="47">
        <v>29250</v>
      </c>
      <c r="H109" s="47">
        <v>27552.32186986403</v>
      </c>
      <c r="I109" s="47">
        <v>23.827273116364978</v>
      </c>
      <c r="J109" s="47">
        <v>14.138947365273273</v>
      </c>
      <c r="K109" s="1">
        <v>24.047480134245596</v>
      </c>
      <c r="L109" s="1">
        <v>14.374690456825801</v>
      </c>
      <c r="M109" s="1">
        <v>700.63949997998293</v>
      </c>
      <c r="N109" s="1">
        <v>8.3176080747494642E-3</v>
      </c>
      <c r="O109" s="1">
        <v>28406.577362381675</v>
      </c>
      <c r="P109" s="1">
        <v>30341.240742271573</v>
      </c>
      <c r="Q109" s="1">
        <v>30966.007036038423</v>
      </c>
      <c r="R109" s="1">
        <v>26471.913982491777</v>
      </c>
      <c r="S109" s="1">
        <v>25847.147688724926</v>
      </c>
      <c r="T109" s="1">
        <v>30092.338008848437</v>
      </c>
      <c r="U109" s="1">
        <v>31107.437596788681</v>
      </c>
      <c r="V109" s="1">
        <v>26031.939657087449</v>
      </c>
      <c r="W109" s="1">
        <v>25016.840069147205</v>
      </c>
    </row>
    <row r="110" spans="1:23" x14ac:dyDescent="0.25">
      <c r="A110" s="46">
        <v>217</v>
      </c>
      <c r="B110" s="46">
        <v>109</v>
      </c>
      <c r="C110" s="46" t="s">
        <v>137</v>
      </c>
      <c r="D110" s="47" t="s">
        <v>143</v>
      </c>
      <c r="E110" s="47">
        <v>123456</v>
      </c>
      <c r="F110" s="47">
        <v>4</v>
      </c>
      <c r="G110" s="47">
        <v>29250</v>
      </c>
      <c r="H110" s="47">
        <v>27750.658233112761</v>
      </c>
      <c r="I110" s="47">
        <v>19.621165149008196</v>
      </c>
      <c r="J110" s="47">
        <v>13.908623126331623</v>
      </c>
      <c r="K110" s="1">
        <v>19.978910320050073</v>
      </c>
      <c r="L110" s="1">
        <v>13.913869722774821</v>
      </c>
      <c r="M110" s="1">
        <v>758.20469970431213</v>
      </c>
      <c r="N110" s="1">
        <v>1.1151746447270369E-2</v>
      </c>
      <c r="O110" s="1">
        <v>28400.559755691134</v>
      </c>
      <c r="P110" s="1">
        <v>30330.064503415717</v>
      </c>
      <c r="Q110" s="1">
        <v>30953.006929778334</v>
      </c>
      <c r="R110" s="1">
        <v>26471.055007966552</v>
      </c>
      <c r="S110" s="1">
        <v>25848.112581603935</v>
      </c>
      <c r="T110" s="1">
        <v>30092.338008848437</v>
      </c>
      <c r="U110" s="1">
        <v>31107.437596788681</v>
      </c>
      <c r="V110" s="1">
        <v>26031.939657087449</v>
      </c>
      <c r="W110" s="1">
        <v>25016.840069147205</v>
      </c>
    </row>
    <row r="111" spans="1:23" x14ac:dyDescent="0.25">
      <c r="A111" s="46">
        <v>218</v>
      </c>
      <c r="B111" s="46">
        <v>110</v>
      </c>
      <c r="C111" s="46" t="s">
        <v>137</v>
      </c>
      <c r="D111" s="47" t="s">
        <v>143</v>
      </c>
      <c r="E111" s="47">
        <v>123456</v>
      </c>
      <c r="F111" s="47">
        <v>4</v>
      </c>
      <c r="G111" s="47">
        <v>29250</v>
      </c>
      <c r="H111" s="47">
        <v>29180.465402461024</v>
      </c>
      <c r="I111" s="47">
        <v>19.002167355948274</v>
      </c>
      <c r="J111" s="47">
        <v>13.765799692852424</v>
      </c>
      <c r="K111" s="1">
        <v>19.303547801748167</v>
      </c>
      <c r="L111" s="1">
        <v>13.96795611126405</v>
      </c>
      <c r="M111" s="1">
        <v>680.209537275976</v>
      </c>
      <c r="N111" s="1">
        <v>6.3097180546998642E-3</v>
      </c>
      <c r="O111" s="1">
        <v>28407.649807025409</v>
      </c>
      <c r="P111" s="1">
        <v>30333.730614605189</v>
      </c>
      <c r="Q111" s="1">
        <v>30955.412859947635</v>
      </c>
      <c r="R111" s="1">
        <v>26481.56899944563</v>
      </c>
      <c r="S111" s="1">
        <v>25859.886754103183</v>
      </c>
      <c r="T111" s="1">
        <v>30092.338008848437</v>
      </c>
      <c r="U111" s="1">
        <v>31107.437596788681</v>
      </c>
      <c r="V111" s="1">
        <v>26031.939657087449</v>
      </c>
      <c r="W111" s="1">
        <v>25016.840069147205</v>
      </c>
    </row>
    <row r="112" spans="1:23" x14ac:dyDescent="0.25">
      <c r="A112" s="46">
        <v>221</v>
      </c>
      <c r="B112" s="46">
        <v>111</v>
      </c>
      <c r="C112" s="46" t="s">
        <v>137</v>
      </c>
      <c r="D112" s="47" t="s">
        <v>143</v>
      </c>
      <c r="E112" s="47">
        <v>123456</v>
      </c>
      <c r="F112" s="47">
        <v>4</v>
      </c>
      <c r="G112" s="47">
        <v>29250</v>
      </c>
      <c r="H112" s="47">
        <v>26988.631474936243</v>
      </c>
      <c r="I112" s="47">
        <v>19.350020800742968</v>
      </c>
      <c r="J112" s="47">
        <v>13.258293742385073</v>
      </c>
      <c r="K112" s="1">
        <v>19.644630689966704</v>
      </c>
      <c r="L112" s="1">
        <v>13.517702891619132</v>
      </c>
      <c r="M112" s="1">
        <v>744.73190636374886</v>
      </c>
      <c r="N112" s="1">
        <v>4.8194325050557422E-3</v>
      </c>
      <c r="O112" s="1">
        <v>28394.865858087669</v>
      </c>
      <c r="P112" s="1">
        <v>30330.468449106735</v>
      </c>
      <c r="Q112" s="1">
        <v>30955.071391945654</v>
      </c>
      <c r="R112" s="1">
        <v>26459.263267068603</v>
      </c>
      <c r="S112" s="1">
        <v>25834.660324229684</v>
      </c>
      <c r="T112" s="1">
        <v>30092.338008848437</v>
      </c>
      <c r="U112" s="1">
        <v>31107.437596788681</v>
      </c>
      <c r="V112" s="1">
        <v>26031.939657087449</v>
      </c>
      <c r="W112" s="1">
        <v>25016.840069147205</v>
      </c>
    </row>
    <row r="113" spans="1:23" x14ac:dyDescent="0.25">
      <c r="A113" s="46">
        <v>222</v>
      </c>
      <c r="B113" s="46">
        <v>112</v>
      </c>
      <c r="C113" s="46" t="s">
        <v>137</v>
      </c>
      <c r="D113" s="47" t="s">
        <v>143</v>
      </c>
      <c r="E113" s="47">
        <v>123456</v>
      </c>
      <c r="F113" s="47">
        <v>4</v>
      </c>
      <c r="G113" s="47">
        <v>29250</v>
      </c>
      <c r="H113" s="47">
        <v>28488.845148741384</v>
      </c>
      <c r="I113" s="47">
        <v>19.418214544040367</v>
      </c>
      <c r="J113" s="47">
        <v>12.432120190841179</v>
      </c>
      <c r="K113" s="1">
        <v>19.668405071721942</v>
      </c>
      <c r="L113" s="1">
        <v>12.896356381240151</v>
      </c>
      <c r="M113" s="1">
        <v>717.96053168257288</v>
      </c>
      <c r="N113" s="1">
        <v>4.4361451833360328E-3</v>
      </c>
      <c r="O113" s="1">
        <v>28395.704958897077</v>
      </c>
      <c r="P113" s="1">
        <v>30322.456223651374</v>
      </c>
      <c r="Q113" s="1">
        <v>30944.053738748458</v>
      </c>
      <c r="R113" s="1">
        <v>26468.95369414278</v>
      </c>
      <c r="S113" s="1">
        <v>25847.356179045695</v>
      </c>
      <c r="T113" s="1">
        <v>30092.338008848437</v>
      </c>
      <c r="U113" s="1">
        <v>31107.437596788681</v>
      </c>
      <c r="V113" s="1">
        <v>26031.939657087449</v>
      </c>
      <c r="W113" s="1">
        <v>25016.840069147205</v>
      </c>
    </row>
    <row r="114" spans="1:23" x14ac:dyDescent="0.25">
      <c r="A114" s="46">
        <v>225</v>
      </c>
      <c r="B114" s="46">
        <v>113</v>
      </c>
      <c r="C114" s="46" t="s">
        <v>137</v>
      </c>
      <c r="D114" s="47" t="s">
        <v>143</v>
      </c>
      <c r="E114" s="47">
        <v>123456</v>
      </c>
      <c r="F114" s="47">
        <v>4</v>
      </c>
      <c r="G114" s="47">
        <v>29250</v>
      </c>
      <c r="H114" s="47">
        <v>28756.297807987958</v>
      </c>
      <c r="I114" s="47">
        <v>20.659556984478741</v>
      </c>
      <c r="J114" s="47">
        <v>14.559284708540352</v>
      </c>
      <c r="K114" s="1">
        <v>20.759948054736366</v>
      </c>
      <c r="L114" s="1">
        <v>14.651717631062377</v>
      </c>
      <c r="M114" s="1">
        <v>686.42751101430883</v>
      </c>
      <c r="N114" s="1">
        <v>1.6985177420517274E-2</v>
      </c>
      <c r="O114" s="1">
        <v>28398.896046057169</v>
      </c>
      <c r="P114" s="1">
        <v>30318.015060281523</v>
      </c>
      <c r="Q114" s="1">
        <v>30937.004407082426</v>
      </c>
      <c r="R114" s="1">
        <v>26479.777031832815</v>
      </c>
      <c r="S114" s="1">
        <v>25860.787685031912</v>
      </c>
      <c r="T114" s="1">
        <v>30092.338008848437</v>
      </c>
      <c r="U114" s="1">
        <v>31107.437596788681</v>
      </c>
      <c r="V114" s="1">
        <v>26031.939657087449</v>
      </c>
      <c r="W114" s="1">
        <v>25016.840069147205</v>
      </c>
    </row>
    <row r="115" spans="1:23" x14ac:dyDescent="0.25">
      <c r="A115" s="46">
        <v>226</v>
      </c>
      <c r="B115" s="46">
        <v>114</v>
      </c>
      <c r="C115" s="46" t="s">
        <v>137</v>
      </c>
      <c r="D115" s="47" t="s">
        <v>143</v>
      </c>
      <c r="E115" s="47">
        <v>123456</v>
      </c>
      <c r="F115" s="47">
        <v>4</v>
      </c>
      <c r="G115" s="47">
        <v>29250</v>
      </c>
      <c r="H115" s="47">
        <v>27643.727567651335</v>
      </c>
      <c r="I115" s="47">
        <v>24.371934979072783</v>
      </c>
      <c r="J115" s="47">
        <v>13.065197327383125</v>
      </c>
      <c r="K115" s="1">
        <v>24.635457836860532</v>
      </c>
      <c r="L115" s="1">
        <v>13.526958655240842</v>
      </c>
      <c r="M115" s="1">
        <v>659.76874327587882</v>
      </c>
      <c r="N115" s="1">
        <v>2.24443469873939E-2</v>
      </c>
      <c r="O115" s="1">
        <v>28392.271761158874</v>
      </c>
      <c r="P115" s="1">
        <v>30307.827628670224</v>
      </c>
      <c r="Q115" s="1">
        <v>30925.524714607287</v>
      </c>
      <c r="R115" s="1">
        <v>26476.715893647524</v>
      </c>
      <c r="S115" s="1">
        <v>25859.018807710461</v>
      </c>
      <c r="T115" s="1">
        <v>30092.338008848437</v>
      </c>
      <c r="U115" s="1">
        <v>31107.437596788681</v>
      </c>
      <c r="V115" s="1">
        <v>26031.939657087449</v>
      </c>
      <c r="W115" s="1">
        <v>25016.840069147205</v>
      </c>
    </row>
    <row r="116" spans="1:23" x14ac:dyDescent="0.25">
      <c r="A116" s="46">
        <v>229</v>
      </c>
      <c r="B116" s="46">
        <v>115</v>
      </c>
      <c r="C116" s="46" t="s">
        <v>137</v>
      </c>
      <c r="D116" s="47" t="s">
        <v>143</v>
      </c>
      <c r="E116" s="47">
        <v>123456</v>
      </c>
      <c r="F116" s="47">
        <v>4</v>
      </c>
      <c r="G116" s="47">
        <v>29250</v>
      </c>
      <c r="H116" s="47">
        <v>27073.187872622679</v>
      </c>
      <c r="I116" s="47">
        <v>19.64283325949549</v>
      </c>
      <c r="J116" s="47">
        <v>12.055883747818335</v>
      </c>
      <c r="K116" s="1">
        <v>19.925512867206624</v>
      </c>
      <c r="L116" s="1">
        <v>12.325419965034799</v>
      </c>
      <c r="M116" s="1">
        <v>763.95053090954184</v>
      </c>
      <c r="N116" s="1">
        <v>2.3573793638088321E-2</v>
      </c>
      <c r="O116" s="1">
        <v>28380.80146647595</v>
      </c>
      <c r="P116" s="1">
        <v>30303.26153375602</v>
      </c>
      <c r="Q116" s="1">
        <v>30923.044001849525</v>
      </c>
      <c r="R116" s="1">
        <v>26458.341399195881</v>
      </c>
      <c r="S116" s="1">
        <v>25838.558931102376</v>
      </c>
      <c r="T116" s="1">
        <v>30092.338008848437</v>
      </c>
      <c r="U116" s="1">
        <v>31107.437596788681</v>
      </c>
      <c r="V116" s="1">
        <v>26031.939657087449</v>
      </c>
      <c r="W116" s="1">
        <v>25016.840069147205</v>
      </c>
    </row>
    <row r="117" spans="1:23" x14ac:dyDescent="0.25">
      <c r="A117" s="46">
        <v>230</v>
      </c>
      <c r="B117" s="46">
        <v>116</v>
      </c>
      <c r="C117" s="46" t="s">
        <v>137</v>
      </c>
      <c r="D117" s="47" t="s">
        <v>143</v>
      </c>
      <c r="E117" s="47">
        <v>123456</v>
      </c>
      <c r="F117" s="47">
        <v>4</v>
      </c>
      <c r="G117" s="47">
        <v>29250</v>
      </c>
      <c r="H117" s="47">
        <v>27981.732484798402</v>
      </c>
      <c r="I117" s="47">
        <v>17.876473331832109</v>
      </c>
      <c r="J117" s="47">
        <v>12.049804372387696</v>
      </c>
      <c r="K117" s="1">
        <v>18.256095476393668</v>
      </c>
      <c r="L117" s="1">
        <v>12.452034702948788</v>
      </c>
      <c r="M117" s="1">
        <v>711.85924006380708</v>
      </c>
      <c r="N117" s="1">
        <v>1.9897977559629174E-2</v>
      </c>
      <c r="O117" s="1">
        <v>28377.361216633901</v>
      </c>
      <c r="P117" s="1">
        <v>30292.672731189181</v>
      </c>
      <c r="Q117" s="1">
        <v>30910.012605506083</v>
      </c>
      <c r="R117" s="1">
        <v>26462.049702078621</v>
      </c>
      <c r="S117" s="1">
        <v>25844.709827761719</v>
      </c>
      <c r="T117" s="1">
        <v>30092.338008848437</v>
      </c>
      <c r="U117" s="1">
        <v>31107.437596788681</v>
      </c>
      <c r="V117" s="1">
        <v>26031.939657087449</v>
      </c>
      <c r="W117" s="1">
        <v>25016.840069147205</v>
      </c>
    </row>
    <row r="118" spans="1:23" x14ac:dyDescent="0.25">
      <c r="A118" s="46">
        <v>233</v>
      </c>
      <c r="B118" s="46">
        <v>117</v>
      </c>
      <c r="C118" s="46" t="s">
        <v>137</v>
      </c>
      <c r="D118" s="47" t="s">
        <v>143</v>
      </c>
      <c r="E118" s="47">
        <v>123456</v>
      </c>
      <c r="F118" s="47">
        <v>4</v>
      </c>
      <c r="G118" s="47">
        <v>29250</v>
      </c>
      <c r="H118" s="47">
        <v>28742.7887003631</v>
      </c>
      <c r="I118" s="47">
        <v>21.865718415003016</v>
      </c>
      <c r="J118" s="47">
        <v>12.299962767540098</v>
      </c>
      <c r="K118" s="1">
        <v>21.975616123184533</v>
      </c>
      <c r="L118" s="1">
        <v>12.654872280471487</v>
      </c>
      <c r="M118" s="1">
        <v>651.41100511293348</v>
      </c>
      <c r="N118" s="1">
        <v>1.5971708226135018E-2</v>
      </c>
      <c r="O118" s="1">
        <v>28380.484528460649</v>
      </c>
      <c r="P118" s="1">
        <v>30288.521392004983</v>
      </c>
      <c r="Q118" s="1">
        <v>30903.381470791886</v>
      </c>
      <c r="R118" s="1">
        <v>26472.447664916315</v>
      </c>
      <c r="S118" s="1">
        <v>25857.587586129412</v>
      </c>
      <c r="T118" s="1">
        <v>30092.338008848437</v>
      </c>
      <c r="U118" s="1">
        <v>31107.437596788681</v>
      </c>
      <c r="V118" s="1">
        <v>26031.939657087449</v>
      </c>
      <c r="W118" s="1">
        <v>25016.840069147205</v>
      </c>
    </row>
    <row r="119" spans="1:23" x14ac:dyDescent="0.25">
      <c r="A119" s="46">
        <v>234</v>
      </c>
      <c r="B119" s="46">
        <v>118</v>
      </c>
      <c r="C119" s="46" t="s">
        <v>137</v>
      </c>
      <c r="D119" s="47" t="s">
        <v>143</v>
      </c>
      <c r="E119" s="47">
        <v>123456</v>
      </c>
      <c r="F119" s="47">
        <v>4</v>
      </c>
      <c r="G119" s="47">
        <v>29250</v>
      </c>
      <c r="H119" s="47">
        <v>29766.565570118022</v>
      </c>
      <c r="I119" s="47">
        <v>21.301719760535931</v>
      </c>
      <c r="J119" s="47">
        <v>12.217871415866917</v>
      </c>
      <c r="K119" s="1">
        <v>21.370440279642963</v>
      </c>
      <c r="L119" s="1">
        <v>12.697637768985945</v>
      </c>
      <c r="M119" s="1">
        <v>601.32538359709872</v>
      </c>
      <c r="N119" s="1">
        <v>2.0293468135337143E-2</v>
      </c>
      <c r="O119" s="1">
        <v>28392.230977966217</v>
      </c>
      <c r="P119" s="1">
        <v>30308.659206082124</v>
      </c>
      <c r="Q119" s="1">
        <v>30926.090095283049</v>
      </c>
      <c r="R119" s="1">
        <v>26475.802749850311</v>
      </c>
      <c r="S119" s="1">
        <v>25858.371860649386</v>
      </c>
      <c r="T119" s="1">
        <v>30092.338008848437</v>
      </c>
      <c r="U119" s="1">
        <v>31107.437596788681</v>
      </c>
      <c r="V119" s="1">
        <v>26031.939657087449</v>
      </c>
      <c r="W119" s="1">
        <v>25016.840069147205</v>
      </c>
    </row>
    <row r="120" spans="1:23" x14ac:dyDescent="0.25">
      <c r="A120" s="46">
        <v>237</v>
      </c>
      <c r="B120" s="46">
        <v>119</v>
      </c>
      <c r="C120" s="46" t="s">
        <v>137</v>
      </c>
      <c r="D120" s="47" t="s">
        <v>143</v>
      </c>
      <c r="E120" s="47">
        <v>123456</v>
      </c>
      <c r="F120" s="47">
        <v>4</v>
      </c>
      <c r="G120" s="47">
        <v>29250</v>
      </c>
      <c r="H120" s="47">
        <v>27792.393382041595</v>
      </c>
      <c r="I120" s="47">
        <v>21.407185281829133</v>
      </c>
      <c r="J120" s="47">
        <v>13.027510429167767</v>
      </c>
      <c r="K120" s="1">
        <v>21.657113245825862</v>
      </c>
      <c r="L120" s="1">
        <v>13.296946152610126</v>
      </c>
      <c r="M120" s="1">
        <v>650.81466109658709</v>
      </c>
      <c r="N120" s="1">
        <v>2.5501669427602451E-2</v>
      </c>
      <c r="O120" s="1">
        <v>28387.190325899624</v>
      </c>
      <c r="P120" s="1">
        <v>30298.416281185473</v>
      </c>
      <c r="Q120" s="1">
        <v>30914.040473042409</v>
      </c>
      <c r="R120" s="1">
        <v>26475.964370613776</v>
      </c>
      <c r="S120" s="1">
        <v>25860.34017875684</v>
      </c>
      <c r="T120" s="1">
        <v>30092.338008848437</v>
      </c>
      <c r="U120" s="1">
        <v>31107.437596788681</v>
      </c>
      <c r="V120" s="1">
        <v>26031.939657087449</v>
      </c>
      <c r="W120" s="1">
        <v>25016.840069147205</v>
      </c>
    </row>
    <row r="121" spans="1:23" x14ac:dyDescent="0.25">
      <c r="A121" s="46">
        <v>238</v>
      </c>
      <c r="B121" s="46">
        <v>120</v>
      </c>
      <c r="C121" s="46" t="s">
        <v>137</v>
      </c>
      <c r="D121" s="47" t="s">
        <v>143</v>
      </c>
      <c r="E121" s="47">
        <v>123456</v>
      </c>
      <c r="F121" s="47">
        <v>4</v>
      </c>
      <c r="G121" s="47">
        <v>29250</v>
      </c>
      <c r="H121" s="47">
        <v>26939.514568625706</v>
      </c>
      <c r="I121" s="47">
        <v>18.546726954231318</v>
      </c>
      <c r="J121" s="47">
        <v>14.571005218464128</v>
      </c>
      <c r="K121" s="1">
        <v>18.997712679665259</v>
      </c>
      <c r="L121" s="1">
        <v>14.87126342456286</v>
      </c>
      <c r="M121" s="1">
        <v>620.62791705066513</v>
      </c>
      <c r="N121" s="1">
        <v>2.3726109777093125E-2</v>
      </c>
      <c r="O121" s="1">
        <v>28375.126361255672</v>
      </c>
      <c r="P121" s="1">
        <v>30296.046451767539</v>
      </c>
      <c r="Q121" s="1">
        <v>30914.66415199497</v>
      </c>
      <c r="R121" s="1">
        <v>26454.206270743805</v>
      </c>
      <c r="S121" s="1">
        <v>25835.588570516375</v>
      </c>
      <c r="T121" s="1">
        <v>30092.338008848437</v>
      </c>
      <c r="U121" s="1">
        <v>31107.437596788681</v>
      </c>
      <c r="V121" s="1">
        <v>26031.939657087449</v>
      </c>
      <c r="W121" s="1">
        <v>25016.840069147205</v>
      </c>
    </row>
    <row r="122" spans="1:23" x14ac:dyDescent="0.25">
      <c r="A122" s="46">
        <v>241</v>
      </c>
      <c r="B122" s="46">
        <v>121</v>
      </c>
      <c r="C122" s="46" t="s">
        <v>137</v>
      </c>
      <c r="D122" s="47" t="s">
        <v>143</v>
      </c>
      <c r="E122" s="47">
        <v>123456</v>
      </c>
      <c r="F122" s="47">
        <v>4</v>
      </c>
      <c r="G122" s="47">
        <v>29250</v>
      </c>
      <c r="H122" s="47">
        <v>29109.191385581667</v>
      </c>
      <c r="I122" s="47">
        <v>23.189976134443153</v>
      </c>
      <c r="J122" s="47">
        <v>12.385017735728363</v>
      </c>
      <c r="K122" s="1">
        <v>23.500622628734089</v>
      </c>
      <c r="L122" s="1">
        <v>12.814492440888863</v>
      </c>
      <c r="M122" s="1">
        <v>692.55531298253959</v>
      </c>
      <c r="N122" s="1">
        <v>2.3769309933109266E-2</v>
      </c>
      <c r="O122" s="1">
        <v>28381.193014349275</v>
      </c>
      <c r="P122" s="1">
        <v>30298.486881142864</v>
      </c>
      <c r="Q122" s="1">
        <v>30915.810137985136</v>
      </c>
      <c r="R122" s="1">
        <v>26463.899147555687</v>
      </c>
      <c r="S122" s="1">
        <v>25846.575890713415</v>
      </c>
      <c r="T122" s="1">
        <v>30092.338008848437</v>
      </c>
      <c r="U122" s="1">
        <v>31107.437596788681</v>
      </c>
      <c r="V122" s="1">
        <v>26031.939657087449</v>
      </c>
      <c r="W122" s="1">
        <v>25016.840069147205</v>
      </c>
    </row>
    <row r="123" spans="1:23" x14ac:dyDescent="0.25">
      <c r="A123" s="46">
        <v>242</v>
      </c>
      <c r="B123" s="46">
        <v>122</v>
      </c>
      <c r="C123" s="46" t="s">
        <v>137</v>
      </c>
      <c r="D123" s="47" t="s">
        <v>143</v>
      </c>
      <c r="E123" s="47">
        <v>123456</v>
      </c>
      <c r="F123" s="47">
        <v>4</v>
      </c>
      <c r="G123" s="47">
        <v>29250</v>
      </c>
      <c r="H123" s="47">
        <v>27589.014769076304</v>
      </c>
      <c r="I123" s="47">
        <v>21.861644562442464</v>
      </c>
      <c r="J123" s="47">
        <v>13.424010923246311</v>
      </c>
      <c r="K123" s="1">
        <v>22.228330291532938</v>
      </c>
      <c r="L123" s="1">
        <v>13.505798188450957</v>
      </c>
      <c r="M123" s="1">
        <v>682.70874167849354</v>
      </c>
      <c r="N123" s="1">
        <v>2.976655640709024E-2</v>
      </c>
      <c r="O123" s="1">
        <v>28374.699750043761</v>
      </c>
      <c r="P123" s="1">
        <v>30289.166479050356</v>
      </c>
      <c r="Q123" s="1">
        <v>30905.455123932155</v>
      </c>
      <c r="R123" s="1">
        <v>26460.233021037166</v>
      </c>
      <c r="S123" s="1">
        <v>25843.944376155367</v>
      </c>
      <c r="T123" s="1">
        <v>30092.338008848437</v>
      </c>
      <c r="U123" s="1">
        <v>31107.437596788681</v>
      </c>
      <c r="V123" s="1">
        <v>26031.939657087449</v>
      </c>
      <c r="W123" s="1">
        <v>25016.840069147205</v>
      </c>
    </row>
    <row r="124" spans="1:23" x14ac:dyDescent="0.25">
      <c r="A124" s="46">
        <v>245</v>
      </c>
      <c r="B124" s="46">
        <v>123</v>
      </c>
      <c r="C124" s="46" t="s">
        <v>137</v>
      </c>
      <c r="D124" s="47" t="s">
        <v>143</v>
      </c>
      <c r="E124" s="47">
        <v>123456</v>
      </c>
      <c r="F124" s="47">
        <v>4</v>
      </c>
      <c r="G124" s="47">
        <v>29250</v>
      </c>
      <c r="H124" s="47">
        <v>28453.408157971979</v>
      </c>
      <c r="I124" s="47">
        <v>19.639446970605007</v>
      </c>
      <c r="J124" s="47">
        <v>14.689027102162123</v>
      </c>
      <c r="K124" s="1">
        <v>19.820932067868196</v>
      </c>
      <c r="L124" s="1">
        <v>14.71630221837987</v>
      </c>
      <c r="M124" s="1">
        <v>719.3904546339362</v>
      </c>
      <c r="N124" s="1">
        <v>1.8413110774885916E-2</v>
      </c>
      <c r="O124" s="1">
        <v>28375.339655799275</v>
      </c>
      <c r="P124" s="1">
        <v>30281.838001738863</v>
      </c>
      <c r="Q124" s="1">
        <v>30895.439767404026</v>
      </c>
      <c r="R124" s="1">
        <v>26468.841309859687</v>
      </c>
      <c r="S124" s="1">
        <v>25855.239544194523</v>
      </c>
      <c r="T124" s="1">
        <v>30092.338008848437</v>
      </c>
      <c r="U124" s="1">
        <v>31107.437596788681</v>
      </c>
      <c r="V124" s="1">
        <v>26031.939657087449</v>
      </c>
      <c r="W124" s="1">
        <v>25016.840069147205</v>
      </c>
    </row>
    <row r="125" spans="1:23" x14ac:dyDescent="0.25">
      <c r="A125" s="46">
        <v>246</v>
      </c>
      <c r="B125" s="46">
        <v>124</v>
      </c>
      <c r="C125" s="46" t="s">
        <v>137</v>
      </c>
      <c r="D125" s="47" t="s">
        <v>143</v>
      </c>
      <c r="E125" s="47">
        <v>123456</v>
      </c>
      <c r="F125" s="47">
        <v>4</v>
      </c>
      <c r="G125" s="47">
        <v>29250</v>
      </c>
      <c r="H125" s="47">
        <v>30234</v>
      </c>
      <c r="I125" s="47">
        <v>19.600000000000001</v>
      </c>
      <c r="J125" s="47">
        <v>14</v>
      </c>
      <c r="K125" s="1">
        <v>23</v>
      </c>
      <c r="L125" s="1">
        <v>13.5</v>
      </c>
      <c r="M125" s="1">
        <v>650</v>
      </c>
      <c r="N125" s="1">
        <v>1.4999999999999999E-2</v>
      </c>
      <c r="O125" s="1">
        <v>28390.328852123475</v>
      </c>
      <c r="P125" s="1">
        <v>30317.440132368181</v>
      </c>
      <c r="Q125" s="1">
        <v>30937.55506522346</v>
      </c>
      <c r="R125" s="1">
        <v>26463.217571878769</v>
      </c>
      <c r="S125" s="1">
        <v>25843.102639023491</v>
      </c>
      <c r="T125" s="1">
        <v>30092.338008848437</v>
      </c>
      <c r="U125" s="1">
        <v>31107.437596788681</v>
      </c>
      <c r="V125" s="1">
        <v>26031.939657087449</v>
      </c>
      <c r="W125" s="1">
        <v>25016.840069147205</v>
      </c>
    </row>
    <row r="126" spans="1:23" x14ac:dyDescent="0.25">
      <c r="A126" s="46">
        <v>247</v>
      </c>
      <c r="B126" s="46">
        <v>125</v>
      </c>
      <c r="C126" s="46" t="s">
        <v>137</v>
      </c>
      <c r="D126" s="47" t="s">
        <v>143</v>
      </c>
      <c r="E126" s="47">
        <v>123456</v>
      </c>
      <c r="F126" s="47">
        <v>4</v>
      </c>
      <c r="G126" s="47">
        <v>29250</v>
      </c>
      <c r="H126" s="47">
        <v>27876.23</v>
      </c>
      <c r="I126" s="47">
        <v>19.600000000000001</v>
      </c>
      <c r="J126" s="47">
        <v>14</v>
      </c>
      <c r="K126" s="1">
        <v>23</v>
      </c>
      <c r="L126" s="1">
        <v>13.5</v>
      </c>
      <c r="M126" s="1">
        <v>650</v>
      </c>
      <c r="N126" s="1">
        <v>1.4999999999999999E-2</v>
      </c>
      <c r="O126" s="1">
        <v>28386.216061306488</v>
      </c>
      <c r="P126" s="1">
        <v>30307.544049729899</v>
      </c>
      <c r="Q126" s="1">
        <v>30925.679288646712</v>
      </c>
      <c r="R126" s="1">
        <v>26464.888072883077</v>
      </c>
      <c r="S126" s="1">
        <v>25846.752833966264</v>
      </c>
      <c r="T126" s="1">
        <v>30092.338008848437</v>
      </c>
      <c r="U126" s="1">
        <v>31107.437596788681</v>
      </c>
      <c r="V126" s="1">
        <v>26031.939657087449</v>
      </c>
      <c r="W126" s="1">
        <v>25016.840069147205</v>
      </c>
    </row>
    <row r="127" spans="1:23" x14ac:dyDescent="0.25">
      <c r="A127" s="46"/>
      <c r="B127" s="46"/>
      <c r="C127" s="46"/>
      <c r="D127" s="47"/>
      <c r="E127" s="47"/>
      <c r="F127" s="47"/>
      <c r="G127" s="47"/>
      <c r="H127" s="47"/>
      <c r="I127" s="47"/>
      <c r="J127" s="4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x14ac:dyDescent="0.25">
      <c r="A128" s="46"/>
      <c r="B128" s="46"/>
      <c r="C128" s="46"/>
      <c r="D128" s="47"/>
      <c r="E128" s="47"/>
      <c r="F128" s="47"/>
      <c r="G128" s="47"/>
      <c r="H128" s="47"/>
      <c r="I128" s="47"/>
      <c r="J128" s="4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5">
      <c r="A129" s="46"/>
      <c r="B129" s="46"/>
      <c r="C129" s="46"/>
      <c r="D129" s="47"/>
      <c r="E129" s="47"/>
      <c r="F129" s="47"/>
      <c r="G129" s="47"/>
      <c r="H129" s="47"/>
      <c r="I129" s="47"/>
      <c r="J129" s="4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5">
      <c r="A130" s="46"/>
      <c r="B130" s="46"/>
      <c r="C130" s="46"/>
      <c r="D130" s="47"/>
      <c r="E130" s="47"/>
      <c r="F130" s="47"/>
      <c r="G130" s="47"/>
      <c r="H130" s="47"/>
      <c r="I130" s="47"/>
      <c r="J130" s="4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5">
      <c r="A131" s="46"/>
      <c r="B131" s="46"/>
      <c r="C131" s="46"/>
      <c r="D131" s="47"/>
      <c r="E131" s="47"/>
      <c r="F131" s="47"/>
      <c r="G131" s="47"/>
      <c r="H131" s="47"/>
      <c r="I131" s="47"/>
      <c r="J131" s="4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5">
      <c r="A132" s="46"/>
      <c r="B132" s="46"/>
      <c r="C132" s="46"/>
      <c r="D132" s="47"/>
      <c r="E132" s="47"/>
      <c r="F132" s="47"/>
      <c r="G132" s="47"/>
      <c r="H132" s="47"/>
      <c r="I132" s="47"/>
      <c r="J132" s="4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5">
      <c r="A133" s="46"/>
      <c r="B133" s="46"/>
      <c r="C133" s="46"/>
      <c r="D133" s="47"/>
      <c r="E133" s="47"/>
      <c r="F133" s="47"/>
      <c r="G133" s="47"/>
      <c r="H133" s="47"/>
      <c r="I133" s="47"/>
      <c r="J133" s="4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5">
      <c r="A134" s="46"/>
      <c r="B134" s="46"/>
      <c r="C134" s="46"/>
      <c r="D134" s="47"/>
      <c r="E134" s="47"/>
      <c r="F134" s="47"/>
      <c r="G134" s="47"/>
      <c r="H134" s="47"/>
      <c r="I134" s="47"/>
      <c r="J134" s="4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5">
      <c r="A135" s="46"/>
      <c r="B135" s="46"/>
      <c r="C135" s="46"/>
      <c r="D135" s="47"/>
      <c r="E135" s="47"/>
      <c r="F135" s="47"/>
      <c r="G135" s="47"/>
      <c r="H135" s="47"/>
      <c r="I135" s="47"/>
      <c r="J135" s="4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5">
      <c r="A136" s="46"/>
      <c r="B136" s="46"/>
      <c r="C136" s="46"/>
      <c r="D136" s="47"/>
      <c r="E136" s="47"/>
      <c r="F136" s="47"/>
      <c r="G136" s="47"/>
      <c r="H136" s="47"/>
      <c r="I136" s="47"/>
      <c r="J136" s="4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5">
      <c r="A137" s="46"/>
      <c r="B137" s="46"/>
      <c r="C137" s="46"/>
      <c r="D137" s="47"/>
      <c r="E137" s="47"/>
      <c r="F137" s="47"/>
      <c r="G137" s="47"/>
      <c r="H137" s="47"/>
      <c r="I137" s="47"/>
      <c r="J137" s="4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5">
      <c r="A138" s="46"/>
      <c r="B138" s="46"/>
      <c r="C138" s="46"/>
      <c r="D138" s="47"/>
      <c r="E138" s="47"/>
      <c r="F138" s="47"/>
      <c r="G138" s="47"/>
      <c r="H138" s="47"/>
      <c r="I138" s="47"/>
      <c r="J138" s="4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5">
      <c r="A139" s="46"/>
      <c r="B139" s="46"/>
      <c r="C139" s="46"/>
      <c r="D139" s="47"/>
      <c r="E139" s="47"/>
      <c r="F139" s="47"/>
      <c r="G139" s="47"/>
      <c r="H139" s="47"/>
      <c r="I139" s="47"/>
      <c r="J139" s="4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5">
      <c r="A140" s="46"/>
      <c r="B140" s="46"/>
      <c r="C140" s="46"/>
      <c r="D140" s="47"/>
      <c r="E140" s="47"/>
      <c r="F140" s="47"/>
      <c r="G140" s="47"/>
      <c r="H140" s="47"/>
      <c r="I140" s="47"/>
      <c r="J140" s="4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x14ac:dyDescent="0.25">
      <c r="A141" s="46"/>
      <c r="B141" s="46"/>
      <c r="C141" s="46"/>
      <c r="D141" s="47"/>
      <c r="E141" s="47"/>
      <c r="F141" s="47"/>
      <c r="G141" s="47"/>
      <c r="H141" s="47"/>
      <c r="I141" s="47"/>
      <c r="J141" s="4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x14ac:dyDescent="0.25">
      <c r="A142" s="46"/>
      <c r="B142" s="46"/>
      <c r="C142" s="46"/>
      <c r="D142" s="47"/>
      <c r="E142" s="47"/>
      <c r="F142" s="47"/>
      <c r="G142" s="47"/>
      <c r="H142" s="47"/>
      <c r="I142" s="47"/>
      <c r="J142" s="4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x14ac:dyDescent="0.25">
      <c r="A143" s="46"/>
      <c r="B143" s="46"/>
      <c r="C143" s="46"/>
      <c r="D143" s="47"/>
      <c r="E143" s="47"/>
      <c r="F143" s="47"/>
      <c r="G143" s="47"/>
      <c r="H143" s="47"/>
      <c r="I143" s="47"/>
      <c r="J143" s="4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5">
      <c r="A144" s="46"/>
      <c r="B144" s="46"/>
      <c r="C144" s="46"/>
      <c r="D144" s="47"/>
      <c r="E144" s="47"/>
      <c r="F144" s="47"/>
      <c r="G144" s="47"/>
      <c r="H144" s="47"/>
      <c r="I144" s="47"/>
      <c r="J144" s="4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5">
      <c r="A145" s="46"/>
      <c r="B145" s="46"/>
      <c r="C145" s="46"/>
      <c r="D145" s="47"/>
      <c r="E145" s="47"/>
      <c r="F145" s="47"/>
      <c r="G145" s="47"/>
      <c r="H145" s="47"/>
      <c r="I145" s="47"/>
      <c r="J145" s="4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5">
      <c r="A146" s="46"/>
      <c r="B146" s="46"/>
      <c r="C146" s="46"/>
      <c r="D146" s="47"/>
      <c r="E146" s="47"/>
      <c r="F146" s="47"/>
      <c r="G146" s="47"/>
      <c r="H146" s="47"/>
      <c r="I146" s="47"/>
      <c r="J146" s="4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5">
      <c r="A147" s="46"/>
      <c r="B147" s="46"/>
      <c r="C147" s="46"/>
      <c r="D147" s="47"/>
      <c r="E147" s="47"/>
      <c r="F147" s="47"/>
      <c r="G147" s="47"/>
      <c r="H147" s="47"/>
      <c r="I147" s="47"/>
      <c r="J147" s="4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5">
      <c r="A148" s="46"/>
      <c r="B148" s="46"/>
      <c r="C148" s="46"/>
      <c r="D148" s="47"/>
      <c r="E148" s="47"/>
      <c r="F148" s="47"/>
      <c r="G148" s="47"/>
      <c r="H148" s="47"/>
      <c r="I148" s="47"/>
      <c r="J148" s="4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5">
      <c r="A149" s="46"/>
      <c r="B149" s="46"/>
      <c r="C149" s="46"/>
      <c r="D149" s="47"/>
      <c r="E149" s="47"/>
      <c r="F149" s="47"/>
      <c r="G149" s="47"/>
      <c r="H149" s="47"/>
      <c r="I149" s="47"/>
      <c r="J149" s="4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x14ac:dyDescent="0.25">
      <c r="A150" s="46"/>
      <c r="B150" s="46"/>
      <c r="C150" s="46"/>
      <c r="D150" s="47"/>
      <c r="E150" s="47"/>
      <c r="F150" s="47"/>
      <c r="G150" s="47"/>
      <c r="H150" s="47"/>
      <c r="I150" s="47"/>
      <c r="J150" s="4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x14ac:dyDescent="0.25">
      <c r="A151" s="46"/>
      <c r="B151" s="46"/>
      <c r="C151" s="46"/>
      <c r="D151" s="47"/>
      <c r="E151" s="47"/>
      <c r="F151" s="47"/>
      <c r="G151" s="47"/>
      <c r="H151" s="47"/>
      <c r="I151" s="47"/>
      <c r="J151" s="4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x14ac:dyDescent="0.25">
      <c r="A152" s="46"/>
      <c r="B152" s="46"/>
      <c r="C152" s="46"/>
      <c r="D152" s="47"/>
      <c r="E152" s="47"/>
      <c r="F152" s="47"/>
      <c r="G152" s="47"/>
      <c r="H152" s="47"/>
      <c r="I152" s="47"/>
      <c r="J152" s="4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5">
      <c r="A153" s="46"/>
      <c r="B153" s="46"/>
      <c r="C153" s="46"/>
      <c r="D153" s="47"/>
      <c r="E153" s="47"/>
      <c r="F153" s="47"/>
      <c r="G153" s="47"/>
      <c r="H153" s="47"/>
      <c r="I153" s="47"/>
      <c r="J153" s="4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5">
      <c r="A154" s="46"/>
      <c r="B154" s="46"/>
      <c r="C154" s="46"/>
      <c r="D154" s="47"/>
      <c r="E154" s="47"/>
      <c r="F154" s="47"/>
      <c r="G154" s="47"/>
      <c r="H154" s="47"/>
      <c r="I154" s="47"/>
      <c r="J154" s="4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5">
      <c r="A155" s="46"/>
      <c r="B155" s="46"/>
      <c r="C155" s="46"/>
      <c r="D155" s="47"/>
      <c r="E155" s="47"/>
      <c r="F155" s="47"/>
      <c r="G155" s="47"/>
      <c r="H155" s="47"/>
      <c r="I155" s="47"/>
      <c r="J155" s="4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5">
      <c r="A156" s="46"/>
      <c r="B156" s="46"/>
      <c r="C156" s="46"/>
      <c r="D156" s="47"/>
      <c r="E156" s="47"/>
      <c r="F156" s="47"/>
      <c r="G156" s="47"/>
      <c r="H156" s="47"/>
      <c r="I156" s="47"/>
      <c r="J156" s="4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5">
      <c r="A157" s="46"/>
      <c r="B157" s="46"/>
      <c r="C157" s="46"/>
      <c r="D157" s="47"/>
      <c r="E157" s="47"/>
      <c r="F157" s="47"/>
      <c r="G157" s="47"/>
      <c r="H157" s="47"/>
      <c r="I157" s="47"/>
      <c r="J157" s="4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5">
      <c r="A158" s="46"/>
      <c r="B158" s="46"/>
      <c r="C158" s="46"/>
      <c r="D158" s="47"/>
      <c r="E158" s="47"/>
      <c r="F158" s="47"/>
      <c r="G158" s="47"/>
      <c r="H158" s="47"/>
      <c r="I158" s="47"/>
      <c r="J158" s="4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5">
      <c r="A159" s="46"/>
      <c r="B159" s="46"/>
      <c r="C159" s="46"/>
      <c r="D159" s="47"/>
      <c r="E159" s="47"/>
      <c r="F159" s="47"/>
      <c r="G159" s="47"/>
      <c r="H159" s="47"/>
      <c r="I159" s="47"/>
      <c r="J159" s="4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5">
      <c r="A160" s="46"/>
      <c r="B160" s="46"/>
      <c r="C160" s="46"/>
      <c r="D160" s="47"/>
      <c r="E160" s="47"/>
      <c r="F160" s="47"/>
      <c r="G160" s="47"/>
      <c r="H160" s="47"/>
      <c r="I160" s="47"/>
      <c r="J160" s="4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5">
      <c r="A161" s="46"/>
      <c r="B161" s="46"/>
      <c r="C161" s="46"/>
      <c r="D161" s="47"/>
      <c r="E161" s="47"/>
      <c r="F161" s="47"/>
      <c r="G161" s="47"/>
      <c r="H161" s="47"/>
      <c r="I161" s="47"/>
      <c r="J161" s="4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5">
      <c r="A162" s="46"/>
      <c r="B162" s="46"/>
      <c r="C162" s="46"/>
      <c r="D162" s="47"/>
      <c r="E162" s="47"/>
      <c r="F162" s="47"/>
      <c r="G162" s="47"/>
      <c r="H162" s="47"/>
      <c r="I162" s="47"/>
      <c r="J162" s="4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5">
      <c r="A163" s="46"/>
      <c r="B163" s="46"/>
      <c r="C163" s="46"/>
      <c r="D163" s="47"/>
      <c r="E163" s="47"/>
      <c r="F163" s="47"/>
      <c r="G163" s="47"/>
      <c r="H163" s="47"/>
      <c r="I163" s="47"/>
      <c r="J163" s="4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5">
      <c r="A164" s="46"/>
      <c r="B164" s="46"/>
      <c r="C164" s="46"/>
      <c r="D164" s="47"/>
      <c r="E164" s="47"/>
      <c r="F164" s="47"/>
      <c r="G164" s="47"/>
      <c r="H164" s="47"/>
      <c r="I164" s="47"/>
      <c r="J164" s="4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x14ac:dyDescent="0.25">
      <c r="A165" s="46"/>
      <c r="B165" s="46"/>
      <c r="C165" s="46"/>
      <c r="D165" s="47"/>
      <c r="E165" s="47"/>
      <c r="F165" s="47"/>
      <c r="G165" s="47"/>
      <c r="H165" s="47"/>
      <c r="I165" s="47"/>
      <c r="J165" s="4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x14ac:dyDescent="0.25">
      <c r="A166" s="46"/>
      <c r="B166" s="46"/>
      <c r="C166" s="46"/>
      <c r="D166" s="47"/>
      <c r="E166" s="47"/>
      <c r="F166" s="47"/>
      <c r="G166" s="47"/>
      <c r="H166" s="47"/>
      <c r="I166" s="47"/>
      <c r="J166" s="4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x14ac:dyDescent="0.25">
      <c r="A167" s="46"/>
      <c r="B167" s="46"/>
      <c r="C167" s="46"/>
      <c r="D167" s="47"/>
      <c r="E167" s="47"/>
      <c r="F167" s="47"/>
      <c r="G167" s="47"/>
      <c r="H167" s="47"/>
      <c r="I167" s="47"/>
      <c r="J167" s="4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5">
      <c r="A168" s="46"/>
      <c r="B168" s="46"/>
      <c r="C168" s="46"/>
      <c r="D168" s="47"/>
      <c r="E168" s="47"/>
      <c r="F168" s="47"/>
      <c r="G168" s="47"/>
      <c r="H168" s="47"/>
      <c r="I168" s="47"/>
      <c r="J168" s="4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5">
      <c r="A169" s="46"/>
      <c r="B169" s="46"/>
      <c r="C169" s="46"/>
      <c r="D169" s="47"/>
      <c r="E169" s="47"/>
      <c r="F169" s="47"/>
      <c r="G169" s="47"/>
      <c r="H169" s="47"/>
      <c r="I169" s="47"/>
      <c r="J169" s="4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5">
      <c r="A170" s="46"/>
      <c r="B170" s="46"/>
      <c r="C170" s="46"/>
      <c r="D170" s="47"/>
      <c r="E170" s="47"/>
      <c r="F170" s="47"/>
      <c r="G170" s="47"/>
      <c r="H170" s="47"/>
      <c r="I170" s="47"/>
      <c r="J170" s="4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5">
      <c r="A171" s="46"/>
      <c r="B171" s="46"/>
      <c r="C171" s="46"/>
      <c r="D171" s="47"/>
      <c r="E171" s="47"/>
      <c r="F171" s="47"/>
      <c r="G171" s="47"/>
      <c r="H171" s="47"/>
      <c r="I171" s="47"/>
      <c r="J171" s="4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5">
      <c r="A172" s="46"/>
      <c r="B172" s="46"/>
      <c r="C172" s="46"/>
      <c r="D172" s="47"/>
      <c r="E172" s="47"/>
      <c r="F172" s="47"/>
      <c r="G172" s="47"/>
      <c r="H172" s="47"/>
      <c r="I172" s="47"/>
      <c r="J172" s="4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5">
      <c r="A173" s="46"/>
      <c r="B173" s="46"/>
      <c r="C173" s="46"/>
      <c r="D173" s="47"/>
      <c r="E173" s="47"/>
      <c r="F173" s="47"/>
      <c r="G173" s="47"/>
      <c r="H173" s="47"/>
      <c r="I173" s="47"/>
      <c r="J173" s="4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x14ac:dyDescent="0.25">
      <c r="A174" s="46"/>
      <c r="B174" s="46"/>
      <c r="C174" s="46"/>
      <c r="D174" s="47"/>
      <c r="E174" s="47"/>
      <c r="F174" s="47"/>
      <c r="G174" s="47"/>
      <c r="H174" s="47"/>
      <c r="I174" s="47"/>
      <c r="J174" s="4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x14ac:dyDescent="0.25">
      <c r="A175" s="46"/>
      <c r="B175" s="46"/>
      <c r="C175" s="46"/>
      <c r="D175" s="47"/>
      <c r="E175" s="47"/>
      <c r="F175" s="47"/>
      <c r="G175" s="47"/>
      <c r="H175" s="47"/>
      <c r="I175" s="47"/>
      <c r="J175" s="47"/>
      <c r="K175" s="1"/>
      <c r="L175" s="1"/>
      <c r="M175" s="1"/>
      <c r="N175" s="1"/>
      <c r="O175" s="1"/>
      <c r="P175" s="1"/>
      <c r="Q175" s="1"/>
      <c r="R175" s="1"/>
      <c r="S175" s="1"/>
    </row>
    <row r="176" spans="1:23" x14ac:dyDescent="0.25">
      <c r="A176" s="46"/>
      <c r="B176" s="46"/>
      <c r="C176" s="46"/>
      <c r="D176" s="47"/>
      <c r="E176" s="47"/>
      <c r="F176" s="47"/>
      <c r="G176" s="47"/>
      <c r="H176" s="47"/>
      <c r="I176" s="47"/>
      <c r="J176" s="47"/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46"/>
      <c r="B177" s="46"/>
      <c r="C177" s="46"/>
      <c r="D177" s="47"/>
      <c r="E177" s="47"/>
      <c r="F177" s="47"/>
      <c r="G177" s="47"/>
      <c r="H177" s="47"/>
      <c r="I177" s="47"/>
      <c r="J177" s="47"/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46"/>
      <c r="B178" s="46"/>
      <c r="C178" s="46"/>
      <c r="D178" s="47"/>
      <c r="E178" s="47"/>
      <c r="F178" s="47"/>
      <c r="G178" s="47"/>
      <c r="H178" s="47"/>
      <c r="I178" s="47"/>
      <c r="J178" s="47"/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46"/>
      <c r="B179" s="46"/>
      <c r="C179" s="46"/>
      <c r="D179" s="47"/>
      <c r="E179" s="47"/>
      <c r="F179" s="47"/>
      <c r="G179" s="47"/>
      <c r="H179" s="47"/>
      <c r="I179" s="47"/>
      <c r="J179" s="47"/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46"/>
      <c r="B180" s="46"/>
      <c r="C180" s="46"/>
      <c r="D180" s="47"/>
      <c r="E180" s="47"/>
      <c r="F180" s="47"/>
      <c r="G180" s="47"/>
      <c r="H180" s="47"/>
      <c r="I180" s="47"/>
      <c r="J180" s="47"/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46"/>
      <c r="B181" s="46"/>
      <c r="C181" s="46"/>
      <c r="D181" s="47"/>
      <c r="E181" s="47"/>
      <c r="F181" s="47"/>
      <c r="G181" s="47"/>
      <c r="H181" s="47"/>
      <c r="I181" s="47"/>
      <c r="J181" s="47"/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46"/>
      <c r="B182" s="46"/>
      <c r="C182" s="46"/>
      <c r="D182" s="47"/>
      <c r="E182" s="47"/>
      <c r="F182" s="47"/>
      <c r="G182" s="47"/>
      <c r="H182" s="47"/>
      <c r="I182" s="47"/>
      <c r="J182" s="47"/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46"/>
      <c r="B183" s="46"/>
      <c r="C183" s="46"/>
      <c r="D183" s="47"/>
      <c r="E183" s="47"/>
      <c r="F183" s="47"/>
      <c r="G183" s="47"/>
      <c r="H183" s="47"/>
      <c r="I183" s="47"/>
      <c r="J183" s="47"/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46"/>
      <c r="B184" s="46"/>
      <c r="C184" s="46"/>
      <c r="D184" s="47"/>
      <c r="E184" s="47"/>
      <c r="F184" s="47"/>
      <c r="G184" s="47"/>
      <c r="H184" s="47"/>
      <c r="I184" s="47"/>
      <c r="J184" s="47"/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46"/>
      <c r="B185" s="46"/>
      <c r="C185" s="46"/>
      <c r="D185" s="47"/>
      <c r="E185" s="47"/>
      <c r="F185" s="47"/>
      <c r="G185" s="47"/>
      <c r="H185" s="47"/>
      <c r="I185" s="47"/>
      <c r="J185" s="47"/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46"/>
      <c r="B186" s="46"/>
      <c r="C186" s="46"/>
      <c r="D186" s="47"/>
      <c r="E186" s="47"/>
      <c r="F186" s="47"/>
      <c r="G186" s="47"/>
      <c r="H186" s="47"/>
      <c r="I186" s="47"/>
      <c r="J186" s="47"/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46"/>
      <c r="B187" s="46"/>
      <c r="C187" s="46"/>
      <c r="D187" s="47"/>
      <c r="E187" s="47"/>
      <c r="F187" s="47"/>
      <c r="G187" s="47"/>
      <c r="H187" s="47"/>
      <c r="I187" s="47"/>
      <c r="J187" s="47"/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46"/>
      <c r="B188" s="46"/>
      <c r="C188" s="46"/>
      <c r="D188" s="47"/>
      <c r="E188" s="47"/>
      <c r="F188" s="47"/>
      <c r="G188" s="47"/>
      <c r="H188" s="47"/>
      <c r="I188" s="47"/>
      <c r="J188" s="47"/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46"/>
      <c r="B189" s="46"/>
      <c r="C189" s="46"/>
      <c r="D189" s="47"/>
      <c r="E189" s="47"/>
      <c r="F189" s="47"/>
      <c r="G189" s="47"/>
      <c r="H189" s="47"/>
      <c r="I189" s="47"/>
      <c r="J189" s="47"/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46"/>
      <c r="B190" s="46"/>
      <c r="C190" s="46"/>
      <c r="D190" s="47"/>
      <c r="E190" s="47"/>
      <c r="F190" s="47"/>
      <c r="G190" s="47"/>
      <c r="H190" s="47"/>
      <c r="I190" s="47"/>
      <c r="J190" s="47"/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46"/>
      <c r="B191" s="46"/>
      <c r="C191" s="46"/>
      <c r="D191" s="47"/>
      <c r="E191" s="47"/>
      <c r="F191" s="47"/>
      <c r="G191" s="47"/>
      <c r="H191" s="47"/>
      <c r="I191" s="47"/>
      <c r="J191" s="47"/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46"/>
      <c r="B192" s="46"/>
      <c r="C192" s="46"/>
      <c r="D192" s="47"/>
      <c r="E192" s="47"/>
      <c r="F192" s="47"/>
      <c r="G192" s="47"/>
      <c r="H192" s="47"/>
      <c r="I192" s="47"/>
      <c r="J192" s="47"/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46"/>
      <c r="B193" s="46"/>
      <c r="C193" s="46"/>
      <c r="D193" s="47"/>
      <c r="E193" s="47"/>
      <c r="F193" s="47"/>
      <c r="G193" s="47"/>
      <c r="H193" s="47"/>
      <c r="I193" s="47"/>
      <c r="J193" s="47"/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46"/>
      <c r="B194" s="46"/>
      <c r="C194" s="46"/>
      <c r="D194" s="47"/>
      <c r="E194" s="47"/>
      <c r="F194" s="47"/>
      <c r="G194" s="47"/>
      <c r="H194" s="47"/>
      <c r="I194" s="47"/>
      <c r="J194" s="47"/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46"/>
      <c r="B195" s="46"/>
      <c r="C195" s="46"/>
      <c r="D195" s="47"/>
      <c r="E195" s="47"/>
      <c r="F195" s="47"/>
      <c r="G195" s="47"/>
      <c r="H195" s="47"/>
      <c r="I195" s="47"/>
      <c r="J195" s="47"/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46"/>
      <c r="B196" s="46"/>
      <c r="C196" s="46"/>
      <c r="D196" s="47"/>
      <c r="E196" s="47"/>
      <c r="F196" s="47"/>
      <c r="G196" s="47"/>
      <c r="H196" s="47"/>
      <c r="I196" s="47"/>
      <c r="J196" s="47"/>
      <c r="K196" s="1"/>
      <c r="L196" s="1"/>
      <c r="M196" s="1"/>
      <c r="N196" s="1"/>
      <c r="O196" s="1"/>
      <c r="P196" s="1"/>
      <c r="Q196" s="1"/>
      <c r="R196" s="1"/>
      <c r="S196" s="1"/>
    </row>
    <row r="197" spans="1:19" x14ac:dyDescent="0.25">
      <c r="A197" s="46"/>
      <c r="B197" s="46"/>
      <c r="C197" s="46"/>
      <c r="D197" s="47"/>
      <c r="E197" s="47"/>
      <c r="F197" s="47"/>
      <c r="G197" s="47"/>
      <c r="H197" s="47"/>
      <c r="I197" s="47"/>
      <c r="J197" s="47"/>
      <c r="K197" s="1"/>
      <c r="L197" s="1"/>
      <c r="M197" s="1"/>
      <c r="N197" s="1"/>
      <c r="O197" s="1"/>
      <c r="P197" s="1"/>
      <c r="Q197" s="1"/>
      <c r="R197" s="1"/>
      <c r="S197" s="1"/>
    </row>
    <row r="198" spans="1:19" x14ac:dyDescent="0.25">
      <c r="A198" s="46"/>
      <c r="B198" s="46"/>
      <c r="C198" s="46"/>
      <c r="D198" s="47"/>
      <c r="E198" s="47"/>
      <c r="F198" s="47"/>
      <c r="G198" s="47"/>
      <c r="H198" s="47"/>
      <c r="I198" s="47"/>
      <c r="J198" s="47"/>
      <c r="K198" s="1"/>
      <c r="L198" s="1"/>
      <c r="M198" s="1"/>
      <c r="N198" s="1"/>
      <c r="O198" s="1"/>
      <c r="P198" s="1"/>
      <c r="Q198" s="1"/>
      <c r="R198" s="1"/>
      <c r="S198" s="1"/>
    </row>
    <row r="199" spans="1:19" x14ac:dyDescent="0.25">
      <c r="A199" s="46"/>
      <c r="B199" s="46"/>
      <c r="C199" s="46"/>
      <c r="D199" s="47"/>
      <c r="E199" s="47"/>
      <c r="F199" s="47"/>
      <c r="G199" s="47"/>
      <c r="H199" s="47"/>
      <c r="I199" s="47"/>
      <c r="J199" s="47"/>
      <c r="K199" s="1"/>
      <c r="L199" s="1"/>
      <c r="M199" s="1"/>
      <c r="N199" s="1"/>
      <c r="O199" s="1"/>
      <c r="P199" s="1"/>
      <c r="Q199" s="1"/>
      <c r="R199" s="1"/>
      <c r="S199" s="1"/>
    </row>
    <row r="200" spans="1:19" x14ac:dyDescent="0.25">
      <c r="A200" s="46"/>
      <c r="B200" s="46"/>
      <c r="C200" s="46"/>
      <c r="D200" s="47"/>
      <c r="E200" s="47"/>
      <c r="F200" s="47"/>
      <c r="G200" s="47"/>
      <c r="H200" s="47"/>
      <c r="I200" s="47"/>
      <c r="J200" s="47"/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46"/>
      <c r="B201" s="46"/>
      <c r="C201" s="46"/>
      <c r="D201" s="47"/>
      <c r="E201" s="47"/>
      <c r="F201" s="47"/>
      <c r="G201" s="47"/>
      <c r="H201" s="47"/>
      <c r="I201" s="47"/>
      <c r="J201" s="47"/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46"/>
      <c r="B202" s="46"/>
      <c r="C202" s="46"/>
      <c r="D202" s="47"/>
      <c r="E202" s="47"/>
      <c r="F202" s="47"/>
      <c r="G202" s="47"/>
      <c r="H202" s="47"/>
      <c r="I202" s="47"/>
      <c r="J202" s="47"/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46"/>
      <c r="B203" s="46"/>
      <c r="C203" s="46"/>
      <c r="D203" s="47"/>
      <c r="E203" s="47"/>
      <c r="F203" s="47"/>
      <c r="G203" s="47"/>
      <c r="H203" s="47"/>
      <c r="I203" s="47"/>
      <c r="J203" s="47"/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46"/>
      <c r="B204" s="46"/>
      <c r="C204" s="46"/>
      <c r="D204" s="47"/>
      <c r="E204" s="47"/>
      <c r="F204" s="47"/>
      <c r="G204" s="47"/>
      <c r="H204" s="47"/>
      <c r="I204" s="47"/>
      <c r="J204" s="47"/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46"/>
      <c r="B205" s="46"/>
      <c r="C205" s="46"/>
      <c r="D205" s="47"/>
      <c r="E205" s="47"/>
      <c r="F205" s="47"/>
      <c r="G205" s="47"/>
      <c r="H205" s="47"/>
      <c r="I205" s="47"/>
      <c r="J205" s="47"/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46"/>
      <c r="B206" s="46"/>
      <c r="C206" s="46"/>
      <c r="D206" s="47"/>
      <c r="E206" s="47"/>
      <c r="F206" s="47"/>
      <c r="G206" s="47"/>
      <c r="H206" s="47"/>
      <c r="I206" s="47"/>
      <c r="J206" s="47"/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46"/>
      <c r="B207" s="46"/>
      <c r="C207" s="46"/>
      <c r="D207" s="47"/>
      <c r="E207" s="47"/>
      <c r="F207" s="47"/>
      <c r="G207" s="47"/>
      <c r="H207" s="47"/>
      <c r="I207" s="47"/>
      <c r="J207" s="47"/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46"/>
      <c r="B208" s="46"/>
      <c r="C208" s="46"/>
      <c r="D208" s="47"/>
      <c r="E208" s="47"/>
      <c r="F208" s="47"/>
      <c r="G208" s="47"/>
      <c r="H208" s="47"/>
      <c r="I208" s="47"/>
      <c r="J208" s="47"/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46"/>
      <c r="B209" s="46"/>
      <c r="C209" s="46"/>
      <c r="D209" s="47"/>
      <c r="E209" s="47"/>
      <c r="F209" s="47"/>
      <c r="G209" s="47"/>
      <c r="H209" s="47"/>
      <c r="I209" s="47"/>
      <c r="J209" s="47"/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46"/>
      <c r="B210" s="46"/>
      <c r="C210" s="46"/>
      <c r="D210" s="47"/>
      <c r="E210" s="47"/>
      <c r="F210" s="47"/>
      <c r="G210" s="47"/>
      <c r="H210" s="47"/>
      <c r="I210" s="47"/>
      <c r="J210" s="47"/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46"/>
      <c r="B211" s="46"/>
      <c r="C211" s="46"/>
      <c r="D211" s="47"/>
      <c r="E211" s="47"/>
      <c r="F211" s="47"/>
      <c r="G211" s="47"/>
      <c r="H211" s="47"/>
      <c r="I211" s="47"/>
      <c r="J211" s="47"/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46"/>
      <c r="B212" s="46"/>
      <c r="C212" s="46"/>
      <c r="D212" s="47"/>
      <c r="E212" s="47"/>
      <c r="F212" s="47"/>
      <c r="G212" s="47"/>
      <c r="H212" s="47"/>
      <c r="I212" s="47"/>
      <c r="J212" s="47"/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46"/>
      <c r="B213" s="46"/>
      <c r="C213" s="46"/>
      <c r="D213" s="47"/>
      <c r="E213" s="47"/>
      <c r="F213" s="47"/>
      <c r="G213" s="47"/>
      <c r="H213" s="47"/>
      <c r="I213" s="47"/>
      <c r="J213" s="47"/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46"/>
      <c r="B214" s="46"/>
      <c r="C214" s="46"/>
      <c r="D214" s="47"/>
      <c r="E214" s="47"/>
      <c r="F214" s="47"/>
      <c r="G214" s="47"/>
      <c r="H214" s="47"/>
      <c r="I214" s="47"/>
      <c r="J214" s="47"/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46"/>
      <c r="B215" s="46"/>
      <c r="C215" s="46"/>
      <c r="D215" s="47"/>
      <c r="E215" s="47"/>
      <c r="F215" s="47"/>
      <c r="G215" s="47"/>
      <c r="H215" s="47"/>
      <c r="I215" s="47"/>
      <c r="J215" s="47"/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46"/>
      <c r="B216" s="46"/>
      <c r="C216" s="46"/>
      <c r="D216" s="47"/>
      <c r="E216" s="47"/>
      <c r="F216" s="47"/>
      <c r="G216" s="47"/>
      <c r="H216" s="47"/>
      <c r="I216" s="47"/>
      <c r="J216" s="47"/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46"/>
      <c r="B217" s="46"/>
      <c r="C217" s="46"/>
      <c r="D217" s="47"/>
      <c r="E217" s="47"/>
      <c r="F217" s="47"/>
      <c r="G217" s="47"/>
      <c r="H217" s="47"/>
      <c r="I217" s="47"/>
      <c r="J217" s="47"/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46"/>
      <c r="B218" s="46"/>
      <c r="C218" s="46"/>
      <c r="D218" s="47"/>
      <c r="E218" s="47"/>
      <c r="F218" s="47"/>
      <c r="G218" s="47"/>
      <c r="H218" s="47"/>
      <c r="I218" s="47"/>
      <c r="J218" s="47"/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46"/>
      <c r="B219" s="46"/>
      <c r="C219" s="46"/>
      <c r="D219" s="47"/>
      <c r="E219" s="47"/>
      <c r="F219" s="47"/>
      <c r="G219" s="47"/>
      <c r="H219" s="47"/>
      <c r="I219" s="47"/>
      <c r="J219" s="47"/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46"/>
      <c r="B220" s="46"/>
      <c r="C220" s="46"/>
      <c r="D220" s="47"/>
      <c r="E220" s="47"/>
      <c r="F220" s="47"/>
      <c r="G220" s="47"/>
      <c r="H220" s="47"/>
      <c r="I220" s="47"/>
      <c r="J220" s="47"/>
      <c r="K220" s="1"/>
      <c r="L220" s="1"/>
      <c r="M220" s="1"/>
      <c r="N220" s="1"/>
      <c r="O220" s="1"/>
      <c r="P220" s="1"/>
      <c r="Q220" s="1"/>
      <c r="R220" s="1"/>
      <c r="S220" s="1"/>
    </row>
    <row r="221" spans="1:19" x14ac:dyDescent="0.25">
      <c r="A221" s="46"/>
      <c r="B221" s="46"/>
      <c r="C221" s="46"/>
      <c r="D221" s="47"/>
      <c r="E221" s="47"/>
      <c r="F221" s="47"/>
      <c r="G221" s="47"/>
      <c r="H221" s="47"/>
      <c r="I221" s="47"/>
      <c r="J221" s="47"/>
      <c r="K221" s="1"/>
      <c r="L221" s="1"/>
      <c r="M221" s="1"/>
      <c r="N221" s="1"/>
      <c r="O221" s="1"/>
      <c r="P221" s="1"/>
      <c r="Q221" s="1"/>
      <c r="R221" s="1"/>
      <c r="S221" s="1"/>
    </row>
    <row r="222" spans="1:19" x14ac:dyDescent="0.25">
      <c r="A222" s="46"/>
      <c r="B222" s="46"/>
      <c r="C222" s="46"/>
      <c r="D222" s="47"/>
      <c r="E222" s="47"/>
      <c r="F222" s="47"/>
      <c r="G222" s="47"/>
      <c r="H222" s="47"/>
      <c r="I222" s="47"/>
      <c r="J222" s="47"/>
      <c r="K222" s="1"/>
      <c r="L222" s="1"/>
      <c r="M222" s="1"/>
      <c r="N222" s="1"/>
      <c r="O222" s="1"/>
      <c r="P222" s="1"/>
      <c r="Q222" s="1"/>
      <c r="R222" s="1"/>
      <c r="S222" s="1"/>
    </row>
    <row r="223" spans="1:19" x14ac:dyDescent="0.25">
      <c r="A223" s="46"/>
      <c r="B223" s="46"/>
      <c r="C223" s="46"/>
      <c r="D223" s="47"/>
      <c r="E223" s="47"/>
      <c r="F223" s="47"/>
      <c r="G223" s="47"/>
      <c r="H223" s="47"/>
      <c r="I223" s="47"/>
      <c r="J223" s="47"/>
      <c r="K223" s="1"/>
      <c r="L223" s="1"/>
      <c r="M223" s="1"/>
      <c r="N223" s="1"/>
      <c r="O223" s="1"/>
      <c r="P223" s="1"/>
      <c r="Q223" s="1"/>
      <c r="R223" s="1"/>
      <c r="S223" s="1"/>
    </row>
  </sheetData>
  <sheetProtection algorithmName="SHA-512" hashValue="cU4ALihwyGOuT9oxd/P0Xjr+6Q+n9QRkn0j87xECiDeqaHp2HyP4aTaPH7UuaxBB2RI62i8PlWTJsfAQiH2gQw==" saltValue="gOEO7618cewO0SlqFM5/S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1"/>
  <dimension ref="A1:BW475"/>
  <sheetViews>
    <sheetView showGridLines="0" workbookViewId="0">
      <pane ySplit="1" topLeftCell="A2" activePane="bottomLeft" state="frozen"/>
      <selection activeCell="C1" sqref="C1"/>
      <selection pane="bottomLeft" activeCell="A8" sqref="A8"/>
    </sheetView>
  </sheetViews>
  <sheetFormatPr defaultRowHeight="15" x14ac:dyDescent="0.25"/>
  <cols>
    <col min="1" max="1" width="10.42578125" bestFit="1" customWidth="1"/>
    <col min="2" max="2" width="10.7109375" bestFit="1" customWidth="1"/>
    <col min="3" max="3" width="11.5703125" customWidth="1"/>
    <col min="7" max="7" width="9.140625" customWidth="1"/>
    <col min="8" max="9" width="9.28515625" bestFit="1" customWidth="1"/>
    <col min="13" max="15" width="9.28515625" bestFit="1" customWidth="1"/>
    <col min="17" max="17" width="10" bestFit="1" customWidth="1"/>
    <col min="18" max="19" width="9.28515625" bestFit="1" customWidth="1"/>
    <col min="20" max="20" width="15.85546875" bestFit="1" customWidth="1"/>
    <col min="21" max="22" width="15.42578125" bestFit="1" customWidth="1"/>
    <col min="23" max="73" width="9.28515625" bestFit="1" customWidth="1"/>
    <col min="74" max="74" width="11.7109375" style="112" bestFit="1" customWidth="1"/>
    <col min="75" max="75" width="9.28515625" bestFit="1" customWidth="1"/>
  </cols>
  <sheetData>
    <row r="1" spans="1:75" x14ac:dyDescent="0.25">
      <c r="A1" s="158" t="s">
        <v>118</v>
      </c>
      <c r="B1" s="158" t="s">
        <v>15</v>
      </c>
      <c r="C1" s="158" t="s">
        <v>16</v>
      </c>
      <c r="D1" s="158" t="s">
        <v>50</v>
      </c>
      <c r="E1" s="158" t="s">
        <v>61</v>
      </c>
      <c r="F1" s="158" t="s">
        <v>62</v>
      </c>
      <c r="G1" s="158" t="s">
        <v>39</v>
      </c>
      <c r="H1" s="158" t="s">
        <v>40</v>
      </c>
      <c r="I1" s="158" t="s">
        <v>119</v>
      </c>
      <c r="J1" s="158" t="s">
        <v>71</v>
      </c>
      <c r="K1" s="158" t="s">
        <v>67</v>
      </c>
      <c r="L1" s="158" t="s">
        <v>68</v>
      </c>
      <c r="M1" s="158" t="s">
        <v>43</v>
      </c>
      <c r="N1" s="158" t="s">
        <v>65</v>
      </c>
      <c r="O1" s="159" t="s">
        <v>66</v>
      </c>
      <c r="P1" s="158" t="s">
        <v>44</v>
      </c>
      <c r="Q1" s="158" t="s">
        <v>63</v>
      </c>
      <c r="R1" s="158" t="s">
        <v>64</v>
      </c>
      <c r="S1" s="158" t="s">
        <v>41</v>
      </c>
      <c r="T1" s="158" t="s">
        <v>45</v>
      </c>
      <c r="U1" s="158" t="s">
        <v>46</v>
      </c>
      <c r="V1" s="158" t="s">
        <v>47</v>
      </c>
      <c r="W1" s="158" t="s">
        <v>48</v>
      </c>
      <c r="X1" s="158" t="s">
        <v>49</v>
      </c>
      <c r="Y1" s="158" t="s">
        <v>0</v>
      </c>
      <c r="Z1" s="158" t="s">
        <v>1</v>
      </c>
      <c r="AA1" s="158" t="s">
        <v>2</v>
      </c>
      <c r="AB1" s="158" t="s">
        <v>3</v>
      </c>
      <c r="AC1" s="158" t="s">
        <v>4</v>
      </c>
      <c r="AD1" s="158" t="s">
        <v>56</v>
      </c>
      <c r="AE1" s="158" t="s">
        <v>57</v>
      </c>
      <c r="AF1" s="158" t="s">
        <v>58</v>
      </c>
      <c r="AG1" s="158" t="s">
        <v>59</v>
      </c>
      <c r="AH1" s="158" t="s">
        <v>60</v>
      </c>
      <c r="AI1" s="158" t="s">
        <v>5</v>
      </c>
      <c r="AJ1" s="158" t="s">
        <v>6</v>
      </c>
      <c r="AK1" s="158" t="s">
        <v>7</v>
      </c>
      <c r="AL1" s="158" t="s">
        <v>8</v>
      </c>
      <c r="AM1" s="158" t="s">
        <v>9</v>
      </c>
      <c r="AN1" s="158" t="s">
        <v>10</v>
      </c>
      <c r="AO1" s="158" t="s">
        <v>11</v>
      </c>
      <c r="AP1" s="158" t="s">
        <v>12</v>
      </c>
      <c r="AQ1" s="158" t="s">
        <v>13</v>
      </c>
      <c r="AR1" s="158" t="s">
        <v>14</v>
      </c>
      <c r="AS1" s="158" t="s">
        <v>18</v>
      </c>
      <c r="AT1" s="158" t="s">
        <v>19</v>
      </c>
      <c r="AU1" s="158" t="s">
        <v>20</v>
      </c>
      <c r="AV1" s="158" t="s">
        <v>21</v>
      </c>
      <c r="AW1" s="158" t="s">
        <v>22</v>
      </c>
      <c r="AX1" s="158" t="s">
        <v>23</v>
      </c>
      <c r="AY1" s="158" t="s">
        <v>24</v>
      </c>
      <c r="AZ1" s="158" t="s">
        <v>25</v>
      </c>
      <c r="BA1" s="158" t="s">
        <v>26</v>
      </c>
      <c r="BB1" s="158" t="s">
        <v>27</v>
      </c>
      <c r="BC1" s="158" t="s">
        <v>28</v>
      </c>
      <c r="BD1" s="158" t="s">
        <v>29</v>
      </c>
      <c r="BE1" s="158" t="s">
        <v>30</v>
      </c>
      <c r="BF1" s="158" t="s">
        <v>31</v>
      </c>
      <c r="BG1" s="158" t="s">
        <v>32</v>
      </c>
      <c r="BH1" s="158" t="s">
        <v>51</v>
      </c>
      <c r="BI1" s="158" t="s">
        <v>52</v>
      </c>
      <c r="BJ1" s="158" t="s">
        <v>53</v>
      </c>
      <c r="BK1" s="158" t="s">
        <v>54</v>
      </c>
      <c r="BL1" s="158" t="s">
        <v>55</v>
      </c>
      <c r="BM1" s="158" t="s">
        <v>72</v>
      </c>
      <c r="BN1" s="158" t="s">
        <v>33</v>
      </c>
      <c r="BO1" s="158" t="s">
        <v>69</v>
      </c>
      <c r="BP1" s="158" t="s">
        <v>34</v>
      </c>
      <c r="BQ1" s="158" t="s">
        <v>35</v>
      </c>
      <c r="BR1" s="158" t="s">
        <v>36</v>
      </c>
      <c r="BS1" s="158" t="s">
        <v>37</v>
      </c>
      <c r="BT1" s="158" t="s">
        <v>38</v>
      </c>
      <c r="BU1" s="158" t="s">
        <v>70</v>
      </c>
      <c r="BV1" s="160" t="s">
        <v>17</v>
      </c>
      <c r="BW1" s="3"/>
    </row>
    <row r="2" spans="1:75" x14ac:dyDescent="0.25">
      <c r="A2" s="149">
        <v>1</v>
      </c>
      <c r="B2" s="150">
        <v>44197</v>
      </c>
      <c r="C2" s="151">
        <v>0.45833333333333331</v>
      </c>
      <c r="D2" s="149" t="s">
        <v>142</v>
      </c>
      <c r="E2" s="149" t="s">
        <v>143</v>
      </c>
      <c r="F2" s="149" t="s">
        <v>144</v>
      </c>
      <c r="G2" s="149">
        <v>123456</v>
      </c>
      <c r="H2" s="149">
        <v>4</v>
      </c>
      <c r="I2" s="149">
        <v>29250</v>
      </c>
      <c r="J2" s="149" t="s">
        <v>137</v>
      </c>
      <c r="K2" s="149" t="s">
        <v>83</v>
      </c>
      <c r="L2" s="149" t="s">
        <v>81</v>
      </c>
      <c r="M2" s="149">
        <v>3</v>
      </c>
      <c r="N2" s="149">
        <v>2000</v>
      </c>
      <c r="O2" s="149">
        <v>2.1</v>
      </c>
      <c r="P2" s="149" t="s">
        <v>75</v>
      </c>
      <c r="Q2" s="149">
        <v>2.16E-5</v>
      </c>
      <c r="R2" s="149">
        <v>1965000</v>
      </c>
      <c r="S2" s="149"/>
      <c r="T2" s="152"/>
      <c r="U2" s="152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>
        <v>12.405605118677146</v>
      </c>
      <c r="BQ2" s="149">
        <f ca="1">BP2-RAND()*(0.5-0)</f>
        <v>11.926313781741342</v>
      </c>
      <c r="BR2" s="149">
        <v>24.968570171105618</v>
      </c>
      <c r="BS2" s="149">
        <v>24.846145456214295</v>
      </c>
      <c r="BT2" s="149">
        <f t="shared" ref="BT2:BT62" ca="1" si="0">RAND()*(800-600)+600</f>
        <v>755.94439682806603</v>
      </c>
      <c r="BU2" s="153">
        <v>28730.673419378491</v>
      </c>
      <c r="BV2" s="149">
        <f ca="1">RAND()*(0.03-0.004)+0.004</f>
        <v>1.2195187597853782E-2</v>
      </c>
      <c r="BW2" s="1"/>
    </row>
    <row r="3" spans="1:75" x14ac:dyDescent="0.25">
      <c r="A3" s="149">
        <f>A2+1</f>
        <v>2</v>
      </c>
      <c r="B3" s="150">
        <f>B2+1</f>
        <v>44198</v>
      </c>
      <c r="C3" s="151">
        <v>0.45833333333333331</v>
      </c>
      <c r="D3" s="149" t="s">
        <v>142</v>
      </c>
      <c r="E3" s="149" t="s">
        <v>143</v>
      </c>
      <c r="F3" s="149" t="s">
        <v>144</v>
      </c>
      <c r="G3" s="149">
        <v>123456</v>
      </c>
      <c r="H3" s="149">
        <v>4</v>
      </c>
      <c r="I3" s="149">
        <v>29250</v>
      </c>
      <c r="J3" s="149" t="s">
        <v>137</v>
      </c>
      <c r="K3" s="149" t="s">
        <v>83</v>
      </c>
      <c r="L3" s="149" t="s">
        <v>81</v>
      </c>
      <c r="M3" s="149">
        <v>3</v>
      </c>
      <c r="N3" s="149">
        <v>2000</v>
      </c>
      <c r="O3" s="149">
        <v>2.1</v>
      </c>
      <c r="P3" s="149" t="s">
        <v>75</v>
      </c>
      <c r="Q3" s="149">
        <v>2.16E-5</v>
      </c>
      <c r="R3" s="149">
        <v>1965000</v>
      </c>
      <c r="S3" s="149"/>
      <c r="T3" s="152"/>
      <c r="U3" s="152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  <c r="BF3" s="149"/>
      <c r="BG3" s="149"/>
      <c r="BH3" s="149"/>
      <c r="BI3" s="149"/>
      <c r="BJ3" s="149"/>
      <c r="BK3" s="149"/>
      <c r="BL3" s="149"/>
      <c r="BM3" s="149"/>
      <c r="BN3" s="149"/>
      <c r="BO3" s="149"/>
      <c r="BP3" s="149">
        <v>13.196102954532801</v>
      </c>
      <c r="BQ3" s="149">
        <f t="shared" ref="BQ3:BQ63" ca="1" si="1">BP3-RAND()*(0.5-0)</f>
        <v>13.098667056403874</v>
      </c>
      <c r="BR3" s="149">
        <v>22.956634755999204</v>
      </c>
      <c r="BS3" s="149">
        <v>22.860622091647368</v>
      </c>
      <c r="BT3" s="149">
        <f t="shared" ca="1" si="0"/>
        <v>600.02912483048476</v>
      </c>
      <c r="BU3" s="153">
        <v>27637.530006216992</v>
      </c>
      <c r="BV3" s="149">
        <f t="shared" ref="BV3:BV63" ca="1" si="2">RAND()*(0.03-0.004)+0.004</f>
        <v>1.2293819218878772E-2</v>
      </c>
      <c r="BW3" s="1"/>
    </row>
    <row r="4" spans="1:75" x14ac:dyDescent="0.25">
      <c r="A4" s="149">
        <f t="shared" ref="A4:A67" si="3">A3+1</f>
        <v>3</v>
      </c>
      <c r="B4" s="150">
        <f t="shared" ref="B4:B10" si="4">B3+1</f>
        <v>44199</v>
      </c>
      <c r="C4" s="151">
        <v>0.45833333333333331</v>
      </c>
      <c r="D4" s="149" t="s">
        <v>142</v>
      </c>
      <c r="E4" s="149" t="s">
        <v>143</v>
      </c>
      <c r="F4" s="149" t="s">
        <v>144</v>
      </c>
      <c r="G4" s="149">
        <v>123821</v>
      </c>
      <c r="H4" s="149">
        <v>4</v>
      </c>
      <c r="I4" s="149">
        <v>28045</v>
      </c>
      <c r="J4" s="149" t="s">
        <v>145</v>
      </c>
      <c r="K4" s="149" t="s">
        <v>83</v>
      </c>
      <c r="L4" s="149" t="s">
        <v>81</v>
      </c>
      <c r="M4" s="149">
        <v>3</v>
      </c>
      <c r="N4" s="149">
        <v>2000</v>
      </c>
      <c r="O4" s="149">
        <v>2.1</v>
      </c>
      <c r="P4" s="149" t="s">
        <v>75</v>
      </c>
      <c r="Q4" s="149">
        <v>2.16E-5</v>
      </c>
      <c r="R4" s="149">
        <v>1965000</v>
      </c>
      <c r="S4" s="149"/>
      <c r="T4" s="152"/>
      <c r="U4" s="152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  <c r="BF4" s="149"/>
      <c r="BG4" s="149"/>
      <c r="BH4" s="149"/>
      <c r="BI4" s="149"/>
      <c r="BJ4" s="149"/>
      <c r="BK4" s="149"/>
      <c r="BL4" s="149"/>
      <c r="BM4" s="149"/>
      <c r="BN4" s="149"/>
      <c r="BO4" s="149"/>
      <c r="BP4" s="149">
        <v>13.622087406451019</v>
      </c>
      <c r="BQ4" s="149">
        <f t="shared" ca="1" si="1"/>
        <v>13.213148667635764</v>
      </c>
      <c r="BR4" s="149">
        <v>22.506805143636115</v>
      </c>
      <c r="BS4" s="149">
        <v>22.415624748834595</v>
      </c>
      <c r="BT4" s="149">
        <f t="shared" ca="1" si="0"/>
        <v>602.62120761107178</v>
      </c>
      <c r="BU4" s="153">
        <v>28282.369951867324</v>
      </c>
      <c r="BV4" s="149">
        <f t="shared" ca="1" si="2"/>
        <v>1.8577884878835615E-2</v>
      </c>
      <c r="BW4" s="1"/>
    </row>
    <row r="5" spans="1:75" x14ac:dyDescent="0.25">
      <c r="A5" s="149">
        <f t="shared" si="3"/>
        <v>4</v>
      </c>
      <c r="B5" s="150">
        <f t="shared" si="4"/>
        <v>44200</v>
      </c>
      <c r="C5" s="151">
        <v>0.45833333333333331</v>
      </c>
      <c r="D5" s="149" t="s">
        <v>142</v>
      </c>
      <c r="E5" s="149" t="s">
        <v>143</v>
      </c>
      <c r="F5" s="149" t="s">
        <v>144</v>
      </c>
      <c r="G5" s="149">
        <v>123821</v>
      </c>
      <c r="H5" s="149">
        <v>4</v>
      </c>
      <c r="I5" s="149">
        <v>28045</v>
      </c>
      <c r="J5" s="149" t="s">
        <v>145</v>
      </c>
      <c r="K5" s="149" t="s">
        <v>83</v>
      </c>
      <c r="L5" s="149" t="s">
        <v>81</v>
      </c>
      <c r="M5" s="149">
        <v>3</v>
      </c>
      <c r="N5" s="149">
        <v>2000</v>
      </c>
      <c r="O5" s="149">
        <v>2.1</v>
      </c>
      <c r="P5" s="149" t="s">
        <v>75</v>
      </c>
      <c r="Q5" s="149">
        <v>2.16E-5</v>
      </c>
      <c r="R5" s="149">
        <v>1965000</v>
      </c>
      <c r="S5" s="149"/>
      <c r="T5" s="152"/>
      <c r="U5" s="152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  <c r="BF5" s="149"/>
      <c r="BG5" s="149"/>
      <c r="BH5" s="149"/>
      <c r="BI5" s="149"/>
      <c r="BJ5" s="149"/>
      <c r="BK5" s="149"/>
      <c r="BL5" s="149"/>
      <c r="BM5" s="149"/>
      <c r="BN5" s="149"/>
      <c r="BO5" s="149"/>
      <c r="BP5" s="149">
        <v>12.441908696190913</v>
      </c>
      <c r="BQ5" s="149">
        <f t="shared" ca="1" si="1"/>
        <v>11.974689432274678</v>
      </c>
      <c r="BR5" s="149">
        <v>24.505350635089442</v>
      </c>
      <c r="BS5" s="149">
        <v>24.085698792581816</v>
      </c>
      <c r="BT5" s="149">
        <f t="shared" ca="1" si="0"/>
        <v>621.99799244325845</v>
      </c>
      <c r="BU5" s="153">
        <v>27083.50393328783</v>
      </c>
      <c r="BV5" s="149">
        <f t="shared" ca="1" si="2"/>
        <v>1.1239463748171226E-2</v>
      </c>
      <c r="BW5" s="1"/>
    </row>
    <row r="6" spans="1:75" x14ac:dyDescent="0.25">
      <c r="A6" s="149">
        <f t="shared" si="3"/>
        <v>5</v>
      </c>
      <c r="B6" s="150">
        <f t="shared" si="4"/>
        <v>44201</v>
      </c>
      <c r="C6" s="151">
        <v>0.45833333333333331</v>
      </c>
      <c r="D6" s="149" t="s">
        <v>142</v>
      </c>
      <c r="E6" s="149" t="s">
        <v>143</v>
      </c>
      <c r="F6" s="149" t="s">
        <v>144</v>
      </c>
      <c r="G6" s="149">
        <v>123456</v>
      </c>
      <c r="H6" s="149">
        <v>4</v>
      </c>
      <c r="I6" s="149">
        <v>29250</v>
      </c>
      <c r="J6" s="149" t="s">
        <v>137</v>
      </c>
      <c r="K6" s="149" t="s">
        <v>83</v>
      </c>
      <c r="L6" s="149" t="s">
        <v>81</v>
      </c>
      <c r="M6" s="149">
        <v>3</v>
      </c>
      <c r="N6" s="149">
        <v>2000</v>
      </c>
      <c r="O6" s="149">
        <v>2.1</v>
      </c>
      <c r="P6" s="149" t="s">
        <v>75</v>
      </c>
      <c r="Q6" s="149">
        <v>2.16E-5</v>
      </c>
      <c r="R6" s="149">
        <v>1965000</v>
      </c>
      <c r="S6" s="149"/>
      <c r="T6" s="152"/>
      <c r="U6" s="152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  <c r="BE6" s="149"/>
      <c r="BF6" s="149"/>
      <c r="BG6" s="149"/>
      <c r="BH6" s="149"/>
      <c r="BI6" s="149"/>
      <c r="BJ6" s="149"/>
      <c r="BK6" s="149"/>
      <c r="BL6" s="149"/>
      <c r="BM6" s="149"/>
      <c r="BN6" s="149"/>
      <c r="BO6" s="149"/>
      <c r="BP6" s="149">
        <v>14.941750403305814</v>
      </c>
      <c r="BQ6" s="149">
        <f t="shared" ca="1" si="1"/>
        <v>14.745350812704643</v>
      </c>
      <c r="BR6" s="149">
        <v>21.073102944110122</v>
      </c>
      <c r="BS6" s="149">
        <v>21.056606300285079</v>
      </c>
      <c r="BT6" s="149">
        <f t="shared" ca="1" si="0"/>
        <v>600.84095390815298</v>
      </c>
      <c r="BU6" s="153">
        <v>26813.354688519557</v>
      </c>
      <c r="BV6" s="149">
        <f t="shared" ca="1" si="2"/>
        <v>6.6396793866671478E-3</v>
      </c>
      <c r="BW6" s="1"/>
    </row>
    <row r="7" spans="1:75" x14ac:dyDescent="0.25">
      <c r="A7" s="149">
        <f t="shared" si="3"/>
        <v>6</v>
      </c>
      <c r="B7" s="150">
        <f t="shared" si="4"/>
        <v>44202</v>
      </c>
      <c r="C7" s="151">
        <v>0.45833333333333331</v>
      </c>
      <c r="D7" s="149" t="s">
        <v>142</v>
      </c>
      <c r="E7" s="149" t="s">
        <v>143</v>
      </c>
      <c r="F7" s="149" t="s">
        <v>144</v>
      </c>
      <c r="G7" s="149">
        <v>123456</v>
      </c>
      <c r="H7" s="149">
        <v>4</v>
      </c>
      <c r="I7" s="149">
        <v>29250</v>
      </c>
      <c r="J7" s="149" t="s">
        <v>137</v>
      </c>
      <c r="K7" s="149" t="s">
        <v>83</v>
      </c>
      <c r="L7" s="149" t="s">
        <v>81</v>
      </c>
      <c r="M7" s="149">
        <v>3</v>
      </c>
      <c r="N7" s="149">
        <v>2000</v>
      </c>
      <c r="O7" s="149">
        <v>2.1</v>
      </c>
      <c r="P7" s="149" t="s">
        <v>75</v>
      </c>
      <c r="Q7" s="149">
        <v>2.16E-5</v>
      </c>
      <c r="R7" s="149">
        <v>1965000</v>
      </c>
      <c r="S7" s="149"/>
      <c r="T7" s="154"/>
      <c r="U7" s="152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  <c r="BH7" s="149"/>
      <c r="BI7" s="149"/>
      <c r="BJ7" s="149"/>
      <c r="BK7" s="149"/>
      <c r="BL7" s="149"/>
      <c r="BM7" s="149"/>
      <c r="BN7" s="149"/>
      <c r="BO7" s="149"/>
      <c r="BP7" s="149">
        <v>12.272745222562557</v>
      </c>
      <c r="BQ7" s="149">
        <f t="shared" ca="1" si="1"/>
        <v>12.09330226140562</v>
      </c>
      <c r="BR7" s="149">
        <v>18.071551530706913</v>
      </c>
      <c r="BS7" s="149">
        <v>17.610216392845519</v>
      </c>
      <c r="BT7" s="149">
        <f t="shared" ca="1" si="0"/>
        <v>722.57738302204552</v>
      </c>
      <c r="BU7" s="153">
        <v>28542.835407338047</v>
      </c>
      <c r="BV7" s="149">
        <f t="shared" ca="1" si="2"/>
        <v>1.9845990895682487E-2</v>
      </c>
      <c r="BW7" s="1"/>
    </row>
    <row r="8" spans="1:75" x14ac:dyDescent="0.25">
      <c r="A8" s="149">
        <f t="shared" si="3"/>
        <v>7</v>
      </c>
      <c r="B8" s="150">
        <f t="shared" si="4"/>
        <v>44203</v>
      </c>
      <c r="C8" s="151">
        <v>0.45833333333333331</v>
      </c>
      <c r="D8" s="149" t="s">
        <v>142</v>
      </c>
      <c r="E8" s="149" t="s">
        <v>143</v>
      </c>
      <c r="F8" s="149" t="s">
        <v>144</v>
      </c>
      <c r="G8" s="149">
        <v>123821</v>
      </c>
      <c r="H8" s="149">
        <v>4</v>
      </c>
      <c r="I8" s="149">
        <v>28045</v>
      </c>
      <c r="J8" s="149" t="s">
        <v>145</v>
      </c>
      <c r="K8" s="149" t="s">
        <v>83</v>
      </c>
      <c r="L8" s="149" t="s">
        <v>81</v>
      </c>
      <c r="M8" s="149">
        <v>3</v>
      </c>
      <c r="N8" s="149">
        <v>2000</v>
      </c>
      <c r="O8" s="149">
        <v>2.1</v>
      </c>
      <c r="P8" s="149" t="s">
        <v>75</v>
      </c>
      <c r="Q8" s="149">
        <v>2.16E-5</v>
      </c>
      <c r="R8" s="149">
        <v>1965000</v>
      </c>
      <c r="S8" s="149"/>
      <c r="T8" s="155"/>
      <c r="U8" s="152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I8" s="149"/>
      <c r="BJ8" s="149"/>
      <c r="BK8" s="149"/>
      <c r="BL8" s="149"/>
      <c r="BM8" s="149"/>
      <c r="BN8" s="149"/>
      <c r="BO8" s="149"/>
      <c r="BP8" s="149">
        <v>12.654602878564932</v>
      </c>
      <c r="BQ8" s="149">
        <f t="shared" ca="1" si="1"/>
        <v>12.591466160960795</v>
      </c>
      <c r="BR8" s="149">
        <v>22.683165242463531</v>
      </c>
      <c r="BS8" s="149">
        <v>22.498117928166504</v>
      </c>
      <c r="BT8" s="149">
        <f t="shared" ca="1" si="0"/>
        <v>603.63881480806106</v>
      </c>
      <c r="BU8" s="153">
        <v>27007.111201663407</v>
      </c>
      <c r="BV8" s="149">
        <f t="shared" ca="1" si="2"/>
        <v>2.8329442628969755E-2</v>
      </c>
      <c r="BW8" s="1"/>
    </row>
    <row r="9" spans="1:75" x14ac:dyDescent="0.25">
      <c r="A9" s="149">
        <f t="shared" si="3"/>
        <v>8</v>
      </c>
      <c r="B9" s="150">
        <f t="shared" si="4"/>
        <v>44204</v>
      </c>
      <c r="C9" s="151">
        <v>0.45833333333333331</v>
      </c>
      <c r="D9" s="149" t="s">
        <v>142</v>
      </c>
      <c r="E9" s="149" t="s">
        <v>143</v>
      </c>
      <c r="F9" s="149" t="s">
        <v>144</v>
      </c>
      <c r="G9" s="149">
        <v>123821</v>
      </c>
      <c r="H9" s="149">
        <v>4</v>
      </c>
      <c r="I9" s="149">
        <v>28045</v>
      </c>
      <c r="J9" s="149" t="s">
        <v>145</v>
      </c>
      <c r="K9" s="149" t="s">
        <v>83</v>
      </c>
      <c r="L9" s="149" t="s">
        <v>81</v>
      </c>
      <c r="M9" s="149">
        <v>3</v>
      </c>
      <c r="N9" s="149">
        <v>2000</v>
      </c>
      <c r="O9" s="149">
        <v>2.1</v>
      </c>
      <c r="P9" s="149" t="s">
        <v>75</v>
      </c>
      <c r="Q9" s="149">
        <v>2.16E-5</v>
      </c>
      <c r="R9" s="149">
        <v>1965000</v>
      </c>
      <c r="S9" s="149"/>
      <c r="T9" s="152"/>
      <c r="U9" s="152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  <c r="BE9" s="149"/>
      <c r="BF9" s="149"/>
      <c r="BG9" s="149"/>
      <c r="BH9" s="149"/>
      <c r="BI9" s="149"/>
      <c r="BJ9" s="149"/>
      <c r="BK9" s="149"/>
      <c r="BL9" s="149"/>
      <c r="BM9" s="149"/>
      <c r="BN9" s="149"/>
      <c r="BO9" s="149"/>
      <c r="BP9" s="149">
        <v>13.072809499877474</v>
      </c>
      <c r="BQ9" s="149">
        <f t="shared" ca="1" si="1"/>
        <v>12.647767292394279</v>
      </c>
      <c r="BR9" s="149">
        <v>23.018745875869911</v>
      </c>
      <c r="BS9" s="149">
        <v>22.67494390048552</v>
      </c>
      <c r="BT9" s="149">
        <f t="shared" ca="1" si="0"/>
        <v>643.29333154048902</v>
      </c>
      <c r="BU9" s="153">
        <v>29620.220624442078</v>
      </c>
      <c r="BV9" s="149">
        <f t="shared" ca="1" si="2"/>
        <v>1.7330020029776492E-2</v>
      </c>
      <c r="BW9" s="1"/>
    </row>
    <row r="10" spans="1:75" x14ac:dyDescent="0.25">
      <c r="A10" s="149">
        <f t="shared" si="3"/>
        <v>9</v>
      </c>
      <c r="B10" s="150">
        <f t="shared" si="4"/>
        <v>44205</v>
      </c>
      <c r="C10" s="151">
        <v>0.45833333333333331</v>
      </c>
      <c r="D10" s="149" t="s">
        <v>142</v>
      </c>
      <c r="E10" s="149" t="s">
        <v>143</v>
      </c>
      <c r="F10" s="149" t="s">
        <v>144</v>
      </c>
      <c r="G10" s="149">
        <v>123456</v>
      </c>
      <c r="H10" s="149">
        <v>4</v>
      </c>
      <c r="I10" s="149">
        <v>29250</v>
      </c>
      <c r="J10" s="149" t="s">
        <v>137</v>
      </c>
      <c r="K10" s="149" t="s">
        <v>83</v>
      </c>
      <c r="L10" s="149" t="s">
        <v>81</v>
      </c>
      <c r="M10" s="149">
        <v>3</v>
      </c>
      <c r="N10" s="149">
        <v>2000</v>
      </c>
      <c r="O10" s="149">
        <v>2.1</v>
      </c>
      <c r="P10" s="149" t="s">
        <v>75</v>
      </c>
      <c r="Q10" s="149">
        <v>2.16E-5</v>
      </c>
      <c r="R10" s="149">
        <v>1965000</v>
      </c>
      <c r="S10" s="149"/>
      <c r="T10" s="152"/>
      <c r="U10" s="152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149"/>
      <c r="BJ10" s="149"/>
      <c r="BK10" s="149"/>
      <c r="BL10" s="149"/>
      <c r="BM10" s="149"/>
      <c r="BN10" s="149"/>
      <c r="BO10" s="149"/>
      <c r="BP10" s="149">
        <v>13.097807769260475</v>
      </c>
      <c r="BQ10" s="149">
        <f t="shared" ca="1" si="1"/>
        <v>13.019736912178143</v>
      </c>
      <c r="BR10" s="149">
        <v>24.741320512533914</v>
      </c>
      <c r="BS10" s="149">
        <v>24.718634627647873</v>
      </c>
      <c r="BT10" s="149">
        <f t="shared" ca="1" si="0"/>
        <v>733.2268874174315</v>
      </c>
      <c r="BU10" s="153">
        <v>26825.452929734693</v>
      </c>
      <c r="BV10" s="149">
        <f t="shared" ca="1" si="2"/>
        <v>1.6438098159645739E-2</v>
      </c>
      <c r="BW10" s="1"/>
    </row>
    <row r="11" spans="1:75" x14ac:dyDescent="0.25">
      <c r="A11" s="149">
        <f t="shared" si="3"/>
        <v>10</v>
      </c>
      <c r="B11" s="150">
        <f t="shared" ref="B11:B46" si="5">B10+1</f>
        <v>44206</v>
      </c>
      <c r="C11" s="151">
        <v>0.45833333333333331</v>
      </c>
      <c r="D11" s="149" t="s">
        <v>142</v>
      </c>
      <c r="E11" s="149" t="s">
        <v>143</v>
      </c>
      <c r="F11" s="149" t="s">
        <v>144</v>
      </c>
      <c r="G11" s="149">
        <v>123456</v>
      </c>
      <c r="H11" s="149">
        <v>4</v>
      </c>
      <c r="I11" s="149">
        <v>29250</v>
      </c>
      <c r="J11" s="149" t="s">
        <v>137</v>
      </c>
      <c r="K11" s="149" t="s">
        <v>83</v>
      </c>
      <c r="L11" s="149" t="s">
        <v>81</v>
      </c>
      <c r="M11" s="149">
        <v>3</v>
      </c>
      <c r="N11" s="149">
        <v>2000</v>
      </c>
      <c r="O11" s="149">
        <v>2.1</v>
      </c>
      <c r="P11" s="149" t="s">
        <v>75</v>
      </c>
      <c r="Q11" s="149">
        <v>2.16E-5</v>
      </c>
      <c r="R11" s="149">
        <v>1965000</v>
      </c>
      <c r="S11" s="149"/>
      <c r="T11" s="152"/>
      <c r="U11" s="152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49"/>
      <c r="BK11" s="149"/>
      <c r="BL11" s="149"/>
      <c r="BM11" s="149"/>
      <c r="BN11" s="149"/>
      <c r="BO11" s="149"/>
      <c r="BP11" s="149">
        <v>14.51011660338461</v>
      </c>
      <c r="BQ11" s="149">
        <f t="shared" ca="1" si="1"/>
        <v>14.405582901608206</v>
      </c>
      <c r="BR11" s="149">
        <v>19.67367474053146</v>
      </c>
      <c r="BS11" s="149">
        <v>19.447649369315435</v>
      </c>
      <c r="BT11" s="149">
        <f t="shared" ca="1" si="0"/>
        <v>700.21655934759656</v>
      </c>
      <c r="BU11" s="153">
        <v>27854.343315504084</v>
      </c>
      <c r="BV11" s="149">
        <f t="shared" ca="1" si="2"/>
        <v>1.439677457776199E-2</v>
      </c>
      <c r="BW11" s="1"/>
    </row>
    <row r="12" spans="1:75" x14ac:dyDescent="0.25">
      <c r="A12" s="149">
        <v>11</v>
      </c>
      <c r="B12" s="150">
        <v>44501</v>
      </c>
      <c r="C12" s="151">
        <v>0.45833333333333331</v>
      </c>
      <c r="D12" s="149" t="s">
        <v>142</v>
      </c>
      <c r="E12" s="149" t="s">
        <v>143</v>
      </c>
      <c r="F12" s="149" t="s">
        <v>144</v>
      </c>
      <c r="G12" s="149">
        <v>123821</v>
      </c>
      <c r="H12" s="149">
        <v>4</v>
      </c>
      <c r="I12" s="149">
        <v>28045</v>
      </c>
      <c r="J12" s="149" t="s">
        <v>145</v>
      </c>
      <c r="K12" s="149" t="s">
        <v>83</v>
      </c>
      <c r="L12" s="149" t="s">
        <v>81</v>
      </c>
      <c r="M12" s="149">
        <v>3</v>
      </c>
      <c r="N12" s="149">
        <v>2000</v>
      </c>
      <c r="O12" s="149">
        <v>2.1</v>
      </c>
      <c r="P12" s="149" t="s">
        <v>75</v>
      </c>
      <c r="Q12" s="149">
        <v>2.16E-5</v>
      </c>
      <c r="R12" s="149">
        <v>1965000</v>
      </c>
      <c r="S12" s="149"/>
      <c r="T12" s="152"/>
      <c r="U12" s="152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  <c r="AL12" s="149"/>
      <c r="AM12" s="149"/>
      <c r="AN12" s="149"/>
      <c r="AO12" s="149"/>
      <c r="AP12" s="149"/>
      <c r="AQ12" s="149"/>
      <c r="AR12" s="149"/>
      <c r="AS12" s="149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49"/>
      <c r="BE12" s="149"/>
      <c r="BF12" s="149"/>
      <c r="BG12" s="149"/>
      <c r="BH12" s="149"/>
      <c r="BI12" s="149"/>
      <c r="BJ12" s="149"/>
      <c r="BK12" s="149"/>
      <c r="BL12" s="149"/>
      <c r="BM12" s="149"/>
      <c r="BN12" s="149"/>
      <c r="BO12" s="149"/>
      <c r="BP12" s="149">
        <v>13.245002081226673</v>
      </c>
      <c r="BQ12" s="149">
        <v>13.146901200557883</v>
      </c>
      <c r="BR12" s="149">
        <v>22.674652682641689</v>
      </c>
      <c r="BS12" s="149">
        <v>22.574045059672805</v>
      </c>
      <c r="BT12" s="149">
        <v>784.22097649649675</v>
      </c>
      <c r="BU12" s="153">
        <v>30000</v>
      </c>
      <c r="BV12" s="149">
        <v>1.027215493918001E-2</v>
      </c>
      <c r="BW12" s="1"/>
    </row>
    <row r="13" spans="1:75" x14ac:dyDescent="0.25">
      <c r="A13" s="149">
        <v>12</v>
      </c>
      <c r="B13" s="150">
        <v>44531</v>
      </c>
      <c r="C13" s="151">
        <v>0.34375</v>
      </c>
      <c r="D13" s="149" t="s">
        <v>142</v>
      </c>
      <c r="E13" s="149" t="s">
        <v>143</v>
      </c>
      <c r="F13" s="149" t="s">
        <v>144</v>
      </c>
      <c r="G13" s="149">
        <v>123821</v>
      </c>
      <c r="H13" s="149">
        <v>4</v>
      </c>
      <c r="I13" s="149">
        <v>28045</v>
      </c>
      <c r="J13" s="149" t="s">
        <v>145</v>
      </c>
      <c r="K13" s="149" t="s">
        <v>83</v>
      </c>
      <c r="L13" s="149" t="s">
        <v>81</v>
      </c>
      <c r="M13" s="149">
        <v>3</v>
      </c>
      <c r="N13" s="149">
        <v>2000</v>
      </c>
      <c r="O13" s="149">
        <v>2.1</v>
      </c>
      <c r="P13" s="149" t="s">
        <v>75</v>
      </c>
      <c r="Q13" s="149">
        <v>2.16E-5</v>
      </c>
      <c r="R13" s="149">
        <v>1965000</v>
      </c>
      <c r="S13" s="149"/>
      <c r="T13" s="152"/>
      <c r="U13" s="152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49"/>
      <c r="BE13" s="149"/>
      <c r="BF13" s="149"/>
      <c r="BG13" s="149"/>
      <c r="BH13" s="149"/>
      <c r="BI13" s="149"/>
      <c r="BJ13" s="149"/>
      <c r="BK13" s="149"/>
      <c r="BL13" s="149"/>
      <c r="BM13" s="149"/>
      <c r="BN13" s="149"/>
      <c r="BO13" s="149"/>
      <c r="BP13" s="149">
        <v>11.98</v>
      </c>
      <c r="BQ13" s="149">
        <v>12.01800152019476</v>
      </c>
      <c r="BR13" s="149">
        <v>24.969216932326905</v>
      </c>
      <c r="BS13" s="149">
        <v>23.31</v>
      </c>
      <c r="BT13" s="149">
        <v>680.44810302216115</v>
      </c>
      <c r="BU13" s="153">
        <v>27453.25</v>
      </c>
      <c r="BV13" s="149">
        <v>1.2607689666034315E-2</v>
      </c>
      <c r="BW13" s="1"/>
    </row>
    <row r="14" spans="1:75" x14ac:dyDescent="0.25">
      <c r="A14" s="149">
        <v>13</v>
      </c>
      <c r="B14" s="150">
        <v>44239</v>
      </c>
      <c r="C14" s="151">
        <v>0.45833333333333331</v>
      </c>
      <c r="D14" s="149" t="s">
        <v>142</v>
      </c>
      <c r="E14" s="149" t="s">
        <v>143</v>
      </c>
      <c r="F14" s="149" t="s">
        <v>144</v>
      </c>
      <c r="G14" s="149">
        <v>123456</v>
      </c>
      <c r="H14" s="149">
        <v>4</v>
      </c>
      <c r="I14" s="149">
        <v>29250</v>
      </c>
      <c r="J14" s="149" t="s">
        <v>137</v>
      </c>
      <c r="K14" s="149" t="s">
        <v>83</v>
      </c>
      <c r="L14" s="149" t="s">
        <v>81</v>
      </c>
      <c r="M14" s="149">
        <v>3</v>
      </c>
      <c r="N14" s="149">
        <v>2000</v>
      </c>
      <c r="O14" s="149">
        <v>2.1</v>
      </c>
      <c r="P14" s="149" t="s">
        <v>75</v>
      </c>
      <c r="Q14" s="149">
        <v>2.16E-5</v>
      </c>
      <c r="R14" s="149">
        <v>1965000</v>
      </c>
      <c r="S14" s="149"/>
      <c r="T14" s="152"/>
      <c r="U14" s="152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  <c r="BH14" s="149"/>
      <c r="BI14" s="149"/>
      <c r="BJ14" s="149"/>
      <c r="BK14" s="149"/>
      <c r="BL14" s="149"/>
      <c r="BM14" s="149"/>
      <c r="BN14" s="149"/>
      <c r="BO14" s="149"/>
      <c r="BP14" s="149">
        <v>14.434838604144927</v>
      </c>
      <c r="BQ14" s="149">
        <v>14.297592156131332</v>
      </c>
      <c r="BR14" s="149">
        <v>18.606650022035687</v>
      </c>
      <c r="BS14" s="149">
        <v>18.595794095346474</v>
      </c>
      <c r="BT14" s="149">
        <v>752.72511506962201</v>
      </c>
      <c r="BU14" s="153">
        <v>29767.53114172196</v>
      </c>
      <c r="BV14" s="149">
        <v>2.5465821158286425E-2</v>
      </c>
      <c r="BW14" s="1"/>
    </row>
    <row r="15" spans="1:75" x14ac:dyDescent="0.25">
      <c r="A15" s="149">
        <f t="shared" si="3"/>
        <v>14</v>
      </c>
      <c r="B15" s="150">
        <f t="shared" si="5"/>
        <v>44240</v>
      </c>
      <c r="C15" s="151">
        <v>0.45833333333333331</v>
      </c>
      <c r="D15" s="149" t="s">
        <v>142</v>
      </c>
      <c r="E15" s="149" t="s">
        <v>143</v>
      </c>
      <c r="F15" s="149" t="s">
        <v>144</v>
      </c>
      <c r="G15" s="149">
        <v>123456</v>
      </c>
      <c r="H15" s="149">
        <v>4</v>
      </c>
      <c r="I15" s="149">
        <v>29250</v>
      </c>
      <c r="J15" s="149" t="s">
        <v>137</v>
      </c>
      <c r="K15" s="149" t="s">
        <v>83</v>
      </c>
      <c r="L15" s="149" t="s">
        <v>81</v>
      </c>
      <c r="M15" s="149">
        <v>3</v>
      </c>
      <c r="N15" s="149">
        <v>2000</v>
      </c>
      <c r="O15" s="149">
        <v>2.1</v>
      </c>
      <c r="P15" s="149" t="s">
        <v>75</v>
      </c>
      <c r="Q15" s="149">
        <v>2.16E-5</v>
      </c>
      <c r="R15" s="149">
        <v>1965000</v>
      </c>
      <c r="S15" s="149"/>
      <c r="T15" s="152"/>
      <c r="U15" s="152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49"/>
      <c r="BE15" s="149"/>
      <c r="BF15" s="149"/>
      <c r="BG15" s="149"/>
      <c r="BH15" s="149"/>
      <c r="BI15" s="149"/>
      <c r="BJ15" s="149"/>
      <c r="BK15" s="149"/>
      <c r="BL15" s="149"/>
      <c r="BM15" s="149"/>
      <c r="BN15" s="149"/>
      <c r="BO15" s="149"/>
      <c r="BP15" s="149">
        <v>14.526349139160796</v>
      </c>
      <c r="BQ15" s="149">
        <f t="shared" ca="1" si="1"/>
        <v>14.277509149724681</v>
      </c>
      <c r="BR15" s="149">
        <v>21.408504837472453</v>
      </c>
      <c r="BS15" s="149">
        <v>21.192077217047988</v>
      </c>
      <c r="BT15" s="149">
        <f t="shared" ca="1" si="0"/>
        <v>696.01146894671899</v>
      </c>
      <c r="BU15" s="153">
        <v>27963.71397199441</v>
      </c>
      <c r="BV15" s="149">
        <f t="shared" ca="1" si="2"/>
        <v>1.9270777929977223E-2</v>
      </c>
      <c r="BW15" s="1"/>
    </row>
    <row r="16" spans="1:75" x14ac:dyDescent="0.25">
      <c r="A16" s="149">
        <v>15</v>
      </c>
      <c r="B16" s="150" t="s">
        <v>147</v>
      </c>
      <c r="C16" s="151">
        <v>0.45833333333333331</v>
      </c>
      <c r="D16" s="149" t="s">
        <v>142</v>
      </c>
      <c r="E16" s="149" t="s">
        <v>143</v>
      </c>
      <c r="F16" s="149" t="s">
        <v>144</v>
      </c>
      <c r="G16" s="149">
        <v>123821</v>
      </c>
      <c r="H16" s="149">
        <v>4</v>
      </c>
      <c r="I16" s="149">
        <v>28045</v>
      </c>
      <c r="J16" s="149" t="s">
        <v>145</v>
      </c>
      <c r="K16" s="149" t="s">
        <v>83</v>
      </c>
      <c r="L16" s="149" t="s">
        <v>81</v>
      </c>
      <c r="M16" s="149">
        <v>3</v>
      </c>
      <c r="N16" s="149">
        <v>2000</v>
      </c>
      <c r="O16" s="149">
        <v>2.1</v>
      </c>
      <c r="P16" s="149" t="s">
        <v>75</v>
      </c>
      <c r="Q16" s="149">
        <v>2.16E-5</v>
      </c>
      <c r="R16" s="149">
        <v>1965000</v>
      </c>
      <c r="S16" s="149"/>
      <c r="T16" s="152"/>
      <c r="U16" s="152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49"/>
      <c r="BE16" s="149"/>
      <c r="BF16" s="149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>
        <v>14.084034595952676</v>
      </c>
      <c r="BQ16" s="149">
        <v>13.703308074007991</v>
      </c>
      <c r="BR16" s="149">
        <v>24.030730040812745</v>
      </c>
      <c r="BS16" s="149">
        <v>23.82877658273496</v>
      </c>
      <c r="BT16" s="149">
        <v>716.16968915346933</v>
      </c>
      <c r="BU16" s="153">
        <v>26650</v>
      </c>
      <c r="BV16" s="149">
        <v>1.810476970287523E-2</v>
      </c>
      <c r="BW16" s="1"/>
    </row>
    <row r="17" spans="1:75" x14ac:dyDescent="0.25">
      <c r="A17" s="149">
        <f t="shared" si="3"/>
        <v>16</v>
      </c>
      <c r="B17" s="150">
        <f t="shared" si="5"/>
        <v>44242</v>
      </c>
      <c r="C17" s="151">
        <v>0.45833333333333331</v>
      </c>
      <c r="D17" s="149" t="s">
        <v>142</v>
      </c>
      <c r="E17" s="149" t="s">
        <v>143</v>
      </c>
      <c r="F17" s="149" t="s">
        <v>144</v>
      </c>
      <c r="G17" s="149">
        <v>123821</v>
      </c>
      <c r="H17" s="149">
        <v>4</v>
      </c>
      <c r="I17" s="149">
        <v>28045</v>
      </c>
      <c r="J17" s="149" t="s">
        <v>145</v>
      </c>
      <c r="K17" s="149" t="s">
        <v>83</v>
      </c>
      <c r="L17" s="149" t="s">
        <v>81</v>
      </c>
      <c r="M17" s="149">
        <v>3</v>
      </c>
      <c r="N17" s="149">
        <v>2000</v>
      </c>
      <c r="O17" s="149">
        <v>2.1</v>
      </c>
      <c r="P17" s="149" t="s">
        <v>75</v>
      </c>
      <c r="Q17" s="149">
        <v>2.16E-5</v>
      </c>
      <c r="R17" s="149">
        <v>1965000</v>
      </c>
      <c r="S17" s="149"/>
      <c r="T17" s="152"/>
      <c r="U17" s="152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>
        <v>13.816505048677072</v>
      </c>
      <c r="BQ17" s="149">
        <f t="shared" ca="1" si="1"/>
        <v>13.420742431976551</v>
      </c>
      <c r="BR17" s="149">
        <v>19.987994661160585</v>
      </c>
      <c r="BS17" s="149">
        <v>19.584652459236182</v>
      </c>
      <c r="BT17" s="149">
        <f t="shared" ca="1" si="0"/>
        <v>756.15356019976252</v>
      </c>
      <c r="BU17" s="153">
        <v>27507.84302270109</v>
      </c>
      <c r="BV17" s="149">
        <f t="shared" ca="1" si="2"/>
        <v>8.1548362008684473E-3</v>
      </c>
      <c r="BW17" s="1"/>
    </row>
    <row r="18" spans="1:75" x14ac:dyDescent="0.25">
      <c r="A18" s="149">
        <f t="shared" si="3"/>
        <v>17</v>
      </c>
      <c r="B18" s="150">
        <f t="shared" si="5"/>
        <v>44243</v>
      </c>
      <c r="C18" s="151">
        <v>0.45833333333333331</v>
      </c>
      <c r="D18" s="149" t="s">
        <v>142</v>
      </c>
      <c r="E18" s="149" t="s">
        <v>143</v>
      </c>
      <c r="F18" s="149" t="s">
        <v>144</v>
      </c>
      <c r="G18" s="149">
        <v>123456</v>
      </c>
      <c r="H18" s="149">
        <v>4</v>
      </c>
      <c r="I18" s="149">
        <v>29250</v>
      </c>
      <c r="J18" s="149" t="s">
        <v>137</v>
      </c>
      <c r="K18" s="149" t="s">
        <v>83</v>
      </c>
      <c r="L18" s="149" t="s">
        <v>81</v>
      </c>
      <c r="M18" s="149">
        <v>3</v>
      </c>
      <c r="N18" s="149">
        <v>2000</v>
      </c>
      <c r="O18" s="149">
        <v>2.1</v>
      </c>
      <c r="P18" s="149" t="s">
        <v>75</v>
      </c>
      <c r="Q18" s="149">
        <v>2.16E-5</v>
      </c>
      <c r="R18" s="149">
        <v>1965000</v>
      </c>
      <c r="S18" s="149"/>
      <c r="T18" s="152"/>
      <c r="U18" s="152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49"/>
      <c r="BE18" s="149"/>
      <c r="BF18" s="149"/>
      <c r="BG18" s="149"/>
      <c r="BH18" s="149"/>
      <c r="BI18" s="149"/>
      <c r="BJ18" s="149"/>
      <c r="BK18" s="149"/>
      <c r="BL18" s="149"/>
      <c r="BM18" s="149"/>
      <c r="BN18" s="149"/>
      <c r="BO18" s="149"/>
      <c r="BP18" s="149">
        <v>13.483004464595449</v>
      </c>
      <c r="BQ18" s="149">
        <f t="shared" ca="1" si="1"/>
        <v>13.208778231643953</v>
      </c>
      <c r="BR18" s="149">
        <v>20.842837141332986</v>
      </c>
      <c r="BS18" s="149">
        <v>20.423279419668535</v>
      </c>
      <c r="BT18" s="149">
        <f t="shared" ca="1" si="0"/>
        <v>611.64249135215744</v>
      </c>
      <c r="BU18" s="153">
        <v>27170.583068034903</v>
      </c>
      <c r="BV18" s="149">
        <f t="shared" ca="1" si="2"/>
        <v>6.6910999880203719E-3</v>
      </c>
      <c r="BW18" s="1"/>
    </row>
    <row r="19" spans="1:75" x14ac:dyDescent="0.25">
      <c r="A19" s="149">
        <f t="shared" si="3"/>
        <v>18</v>
      </c>
      <c r="B19" s="150">
        <f t="shared" si="5"/>
        <v>44244</v>
      </c>
      <c r="C19" s="151">
        <v>0.45833333333333331</v>
      </c>
      <c r="D19" s="149" t="s">
        <v>142</v>
      </c>
      <c r="E19" s="149" t="s">
        <v>143</v>
      </c>
      <c r="F19" s="149" t="s">
        <v>144</v>
      </c>
      <c r="G19" s="149">
        <v>123456</v>
      </c>
      <c r="H19" s="149">
        <v>4</v>
      </c>
      <c r="I19" s="149">
        <v>29250</v>
      </c>
      <c r="J19" s="149" t="s">
        <v>137</v>
      </c>
      <c r="K19" s="149" t="s">
        <v>83</v>
      </c>
      <c r="L19" s="149" t="s">
        <v>81</v>
      </c>
      <c r="M19" s="149">
        <v>3</v>
      </c>
      <c r="N19" s="149">
        <v>2000</v>
      </c>
      <c r="O19" s="149">
        <v>2.1</v>
      </c>
      <c r="P19" s="149" t="s">
        <v>75</v>
      </c>
      <c r="Q19" s="149">
        <v>2.16E-5</v>
      </c>
      <c r="R19" s="149">
        <v>1965000</v>
      </c>
      <c r="S19" s="149"/>
      <c r="T19" s="152"/>
      <c r="U19" s="152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>
        <v>14.096755472674877</v>
      </c>
      <c r="BQ19" s="149">
        <f t="shared" ca="1" si="1"/>
        <v>13.724671421015785</v>
      </c>
      <c r="BR19" s="149">
        <v>19.162240575050046</v>
      </c>
      <c r="BS19" s="149">
        <v>18.764753635721952</v>
      </c>
      <c r="BT19" s="149">
        <f t="shared" ca="1" si="0"/>
        <v>642.15190590320378</v>
      </c>
      <c r="BU19" s="153">
        <v>29315.370381236287</v>
      </c>
      <c r="BV19" s="149">
        <f t="shared" ca="1" si="2"/>
        <v>2.5443232863050714E-2</v>
      </c>
      <c r="BW19" s="1"/>
    </row>
    <row r="20" spans="1:75" x14ac:dyDescent="0.25">
      <c r="A20" s="149">
        <f t="shared" si="3"/>
        <v>19</v>
      </c>
      <c r="B20" s="150">
        <f t="shared" si="5"/>
        <v>44245</v>
      </c>
      <c r="C20" s="151">
        <v>0.45833333333333331</v>
      </c>
      <c r="D20" s="149" t="s">
        <v>142</v>
      </c>
      <c r="E20" s="149" t="s">
        <v>143</v>
      </c>
      <c r="F20" s="149" t="s">
        <v>144</v>
      </c>
      <c r="G20" s="149">
        <v>123821</v>
      </c>
      <c r="H20" s="149">
        <v>4</v>
      </c>
      <c r="I20" s="149">
        <v>28045</v>
      </c>
      <c r="J20" s="149" t="s">
        <v>145</v>
      </c>
      <c r="K20" s="149" t="s">
        <v>83</v>
      </c>
      <c r="L20" s="149" t="s">
        <v>81</v>
      </c>
      <c r="M20" s="149">
        <v>3</v>
      </c>
      <c r="N20" s="149">
        <v>2000</v>
      </c>
      <c r="O20" s="149">
        <v>2.1</v>
      </c>
      <c r="P20" s="149" t="s">
        <v>75</v>
      </c>
      <c r="Q20" s="149">
        <v>2.16E-5</v>
      </c>
      <c r="R20" s="149">
        <v>1965000</v>
      </c>
      <c r="S20" s="149"/>
      <c r="T20" s="152"/>
      <c r="U20" s="152"/>
      <c r="V20" s="149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  <c r="BH20" s="149"/>
      <c r="BI20" s="149"/>
      <c r="BJ20" s="149"/>
      <c r="BK20" s="149"/>
      <c r="BL20" s="149"/>
      <c r="BM20" s="149"/>
      <c r="BN20" s="149"/>
      <c r="BO20" s="149"/>
      <c r="BP20" s="149">
        <v>13.310719347543351</v>
      </c>
      <c r="BQ20" s="149">
        <f t="shared" ca="1" si="1"/>
        <v>12.998947041460378</v>
      </c>
      <c r="BR20" s="149">
        <v>23.112390459935447</v>
      </c>
      <c r="BS20" s="149">
        <v>23.086315930700998</v>
      </c>
      <c r="BT20" s="149">
        <f t="shared" ca="1" si="0"/>
        <v>793.39390879724033</v>
      </c>
      <c r="BU20" s="153">
        <v>27441.779028690511</v>
      </c>
      <c r="BV20" s="149">
        <f t="shared" ca="1" si="2"/>
        <v>2.7929316848154785E-2</v>
      </c>
      <c r="BW20" s="1"/>
    </row>
    <row r="21" spans="1:75" x14ac:dyDescent="0.25">
      <c r="A21" s="149">
        <f t="shared" si="3"/>
        <v>20</v>
      </c>
      <c r="B21" s="150">
        <f t="shared" si="5"/>
        <v>44246</v>
      </c>
      <c r="C21" s="151">
        <v>0.45833333333333331</v>
      </c>
      <c r="D21" s="149" t="s">
        <v>142</v>
      </c>
      <c r="E21" s="149" t="s">
        <v>143</v>
      </c>
      <c r="F21" s="149" t="s">
        <v>144</v>
      </c>
      <c r="G21" s="149">
        <v>123821</v>
      </c>
      <c r="H21" s="149">
        <v>4</v>
      </c>
      <c r="I21" s="149">
        <v>28045</v>
      </c>
      <c r="J21" s="149" t="s">
        <v>145</v>
      </c>
      <c r="K21" s="149" t="s">
        <v>83</v>
      </c>
      <c r="L21" s="149" t="s">
        <v>81</v>
      </c>
      <c r="M21" s="149">
        <v>3</v>
      </c>
      <c r="N21" s="149">
        <v>2000</v>
      </c>
      <c r="O21" s="149">
        <v>2.1</v>
      </c>
      <c r="P21" s="149" t="s">
        <v>75</v>
      </c>
      <c r="Q21" s="149">
        <v>2.16E-5</v>
      </c>
      <c r="R21" s="149">
        <v>1965000</v>
      </c>
      <c r="S21" s="149"/>
      <c r="T21" s="152"/>
      <c r="U21" s="152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49"/>
      <c r="AS21" s="149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49"/>
      <c r="BE21" s="149"/>
      <c r="BF21" s="149"/>
      <c r="BG21" s="149"/>
      <c r="BH21" s="149"/>
      <c r="BI21" s="149"/>
      <c r="BJ21" s="149"/>
      <c r="BK21" s="149"/>
      <c r="BL21" s="149"/>
      <c r="BM21" s="149"/>
      <c r="BN21" s="149"/>
      <c r="BO21" s="149"/>
      <c r="BP21" s="149">
        <v>14.420742035054319</v>
      </c>
      <c r="BQ21" s="149">
        <f t="shared" ca="1" si="1"/>
        <v>14.103156031712512</v>
      </c>
      <c r="BR21" s="149">
        <v>24.800515836239548</v>
      </c>
      <c r="BS21" s="149">
        <v>24.400844393653838</v>
      </c>
      <c r="BT21" s="149">
        <f t="shared" ca="1" si="0"/>
        <v>774.15259215194123</v>
      </c>
      <c r="BU21" s="153">
        <v>28588.986864467835</v>
      </c>
      <c r="BV21" s="149">
        <f t="shared" ca="1" si="2"/>
        <v>2.4452617725117337E-2</v>
      </c>
      <c r="BW21" s="1"/>
    </row>
    <row r="22" spans="1:75" x14ac:dyDescent="0.25">
      <c r="A22" s="149">
        <f t="shared" si="3"/>
        <v>21</v>
      </c>
      <c r="B22" s="150">
        <f t="shared" si="5"/>
        <v>44247</v>
      </c>
      <c r="C22" s="151">
        <v>0.45833333333333331</v>
      </c>
      <c r="D22" s="149" t="s">
        <v>142</v>
      </c>
      <c r="E22" s="149" t="s">
        <v>143</v>
      </c>
      <c r="F22" s="149" t="s">
        <v>144</v>
      </c>
      <c r="G22" s="149">
        <v>123456</v>
      </c>
      <c r="H22" s="149">
        <v>4</v>
      </c>
      <c r="I22" s="149">
        <v>29250</v>
      </c>
      <c r="J22" s="149" t="s">
        <v>137</v>
      </c>
      <c r="K22" s="149" t="s">
        <v>83</v>
      </c>
      <c r="L22" s="149" t="s">
        <v>81</v>
      </c>
      <c r="M22" s="149">
        <v>3</v>
      </c>
      <c r="N22" s="149">
        <v>2000</v>
      </c>
      <c r="O22" s="149">
        <v>2.1</v>
      </c>
      <c r="P22" s="149" t="s">
        <v>75</v>
      </c>
      <c r="Q22" s="149">
        <v>2.16E-5</v>
      </c>
      <c r="R22" s="149">
        <v>1965000</v>
      </c>
      <c r="S22" s="149"/>
      <c r="T22" s="152"/>
      <c r="U22" s="152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>
        <v>12.857637633411525</v>
      </c>
      <c r="BQ22" s="149">
        <f t="shared" ca="1" si="1"/>
        <v>12.767911324546681</v>
      </c>
      <c r="BR22" s="149">
        <v>24.500373772616008</v>
      </c>
      <c r="BS22" s="149">
        <v>24.403220706900434</v>
      </c>
      <c r="BT22" s="149">
        <f t="shared" ca="1" si="0"/>
        <v>688.09977768240753</v>
      </c>
      <c r="BU22" s="153">
        <v>27096.688211844124</v>
      </c>
      <c r="BV22" s="149">
        <f t="shared" ca="1" si="2"/>
        <v>6.0043255093046163E-3</v>
      </c>
      <c r="BW22" s="1"/>
    </row>
    <row r="23" spans="1:75" x14ac:dyDescent="0.25">
      <c r="A23" s="149">
        <f t="shared" si="3"/>
        <v>22</v>
      </c>
      <c r="B23" s="150">
        <f t="shared" si="5"/>
        <v>44248</v>
      </c>
      <c r="C23" s="151">
        <v>0.45833333333333331</v>
      </c>
      <c r="D23" s="149" t="s">
        <v>142</v>
      </c>
      <c r="E23" s="149" t="s">
        <v>143</v>
      </c>
      <c r="F23" s="149" t="s">
        <v>144</v>
      </c>
      <c r="G23" s="149">
        <v>123456</v>
      </c>
      <c r="H23" s="149">
        <v>4</v>
      </c>
      <c r="I23" s="149">
        <v>29250</v>
      </c>
      <c r="J23" s="149" t="s">
        <v>137</v>
      </c>
      <c r="K23" s="149" t="s">
        <v>83</v>
      </c>
      <c r="L23" s="149" t="s">
        <v>81</v>
      </c>
      <c r="M23" s="149">
        <v>3</v>
      </c>
      <c r="N23" s="149">
        <v>2000</v>
      </c>
      <c r="O23" s="149">
        <v>2.1</v>
      </c>
      <c r="P23" s="149" t="s">
        <v>75</v>
      </c>
      <c r="Q23" s="149">
        <v>2.16E-5</v>
      </c>
      <c r="R23" s="149">
        <v>1965000</v>
      </c>
      <c r="S23" s="149"/>
      <c r="T23" s="152"/>
      <c r="U23" s="152"/>
      <c r="V23" s="149"/>
      <c r="W23" s="149"/>
      <c r="X23" s="149"/>
      <c r="Y23" s="149"/>
      <c r="Z23" s="149"/>
      <c r="AA23" s="149"/>
      <c r="AB23" s="149"/>
      <c r="AC23" s="149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49"/>
      <c r="BG23" s="149"/>
      <c r="BH23" s="149"/>
      <c r="BI23" s="149"/>
      <c r="BJ23" s="149"/>
      <c r="BK23" s="149"/>
      <c r="BL23" s="149"/>
      <c r="BM23" s="149"/>
      <c r="BN23" s="149"/>
      <c r="BO23" s="149"/>
      <c r="BP23" s="149">
        <v>14.211022852961875</v>
      </c>
      <c r="BQ23" s="149">
        <f t="shared" ca="1" si="1"/>
        <v>14.193974884673311</v>
      </c>
      <c r="BR23" s="149">
        <v>18.990206069083577</v>
      </c>
      <c r="BS23" s="149">
        <v>18.979809286873198</v>
      </c>
      <c r="BT23" s="149">
        <f t="shared" ca="1" si="0"/>
        <v>603.45153152595469</v>
      </c>
      <c r="BU23" s="153">
        <v>28757.423969064857</v>
      </c>
      <c r="BV23" s="149">
        <f t="shared" ca="1" si="2"/>
        <v>2.7928771840197066E-2</v>
      </c>
      <c r="BW23" s="1"/>
    </row>
    <row r="24" spans="1:75" x14ac:dyDescent="0.25">
      <c r="A24" s="149">
        <f t="shared" si="3"/>
        <v>23</v>
      </c>
      <c r="B24" s="150">
        <f t="shared" si="5"/>
        <v>44249</v>
      </c>
      <c r="C24" s="151">
        <v>0.45833333333333331</v>
      </c>
      <c r="D24" s="149" t="s">
        <v>142</v>
      </c>
      <c r="E24" s="149" t="s">
        <v>143</v>
      </c>
      <c r="F24" s="149" t="s">
        <v>144</v>
      </c>
      <c r="G24" s="149">
        <v>123821</v>
      </c>
      <c r="H24" s="149">
        <v>4</v>
      </c>
      <c r="I24" s="149">
        <v>28045</v>
      </c>
      <c r="J24" s="149" t="s">
        <v>145</v>
      </c>
      <c r="K24" s="149" t="s">
        <v>83</v>
      </c>
      <c r="L24" s="149" t="s">
        <v>81</v>
      </c>
      <c r="M24" s="149">
        <v>3</v>
      </c>
      <c r="N24" s="149">
        <v>2000</v>
      </c>
      <c r="O24" s="149">
        <v>2.1</v>
      </c>
      <c r="P24" s="149" t="s">
        <v>75</v>
      </c>
      <c r="Q24" s="149">
        <v>2.16E-5</v>
      </c>
      <c r="R24" s="149">
        <v>1965000</v>
      </c>
      <c r="S24" s="149"/>
      <c r="T24" s="152"/>
      <c r="U24" s="152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49"/>
      <c r="BG24" s="149"/>
      <c r="BH24" s="149"/>
      <c r="BI24" s="149"/>
      <c r="BJ24" s="149"/>
      <c r="BK24" s="149"/>
      <c r="BL24" s="149"/>
      <c r="BM24" s="149"/>
      <c r="BN24" s="149"/>
      <c r="BO24" s="149"/>
      <c r="BP24" s="149">
        <v>13.711322787148177</v>
      </c>
      <c r="BQ24" s="149">
        <f t="shared" ca="1" si="1"/>
        <v>13.389797627704636</v>
      </c>
      <c r="BR24" s="149">
        <v>19.177202352320268</v>
      </c>
      <c r="BS24" s="149">
        <v>18.769640634089974</v>
      </c>
      <c r="BT24" s="149">
        <f t="shared" ca="1" si="0"/>
        <v>635.54930469960595</v>
      </c>
      <c r="BU24" s="153">
        <v>29067.009922897367</v>
      </c>
      <c r="BV24" s="149">
        <f t="shared" ca="1" si="2"/>
        <v>1.4705923231326454E-2</v>
      </c>
      <c r="BW24" s="1"/>
    </row>
    <row r="25" spans="1:75" x14ac:dyDescent="0.25">
      <c r="A25" s="149">
        <f t="shared" si="3"/>
        <v>24</v>
      </c>
      <c r="B25" s="150">
        <f t="shared" si="5"/>
        <v>44250</v>
      </c>
      <c r="C25" s="151">
        <v>0.45833333333333331</v>
      </c>
      <c r="D25" s="149" t="s">
        <v>142</v>
      </c>
      <c r="E25" s="149" t="s">
        <v>143</v>
      </c>
      <c r="F25" s="149" t="s">
        <v>144</v>
      </c>
      <c r="G25" s="149">
        <v>123821</v>
      </c>
      <c r="H25" s="149">
        <v>4</v>
      </c>
      <c r="I25" s="149">
        <v>28045</v>
      </c>
      <c r="J25" s="149" t="s">
        <v>145</v>
      </c>
      <c r="K25" s="149" t="s">
        <v>83</v>
      </c>
      <c r="L25" s="149" t="s">
        <v>81</v>
      </c>
      <c r="M25" s="149">
        <v>3</v>
      </c>
      <c r="N25" s="149">
        <v>2000</v>
      </c>
      <c r="O25" s="149">
        <v>2.1</v>
      </c>
      <c r="P25" s="149" t="s">
        <v>75</v>
      </c>
      <c r="Q25" s="149">
        <v>2.16E-5</v>
      </c>
      <c r="R25" s="149">
        <v>1965000</v>
      </c>
      <c r="S25" s="149"/>
      <c r="T25" s="152"/>
      <c r="U25" s="152"/>
      <c r="V25" s="149"/>
      <c r="W25" s="149"/>
      <c r="X25" s="149"/>
      <c r="Y25" s="149"/>
      <c r="Z25" s="149"/>
      <c r="AA25" s="149"/>
      <c r="AB25" s="149"/>
      <c r="AC25" s="149"/>
      <c r="AD25" s="149"/>
      <c r="AE25" s="149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49"/>
      <c r="BG25" s="149"/>
      <c r="BH25" s="149"/>
      <c r="BI25" s="149"/>
      <c r="BJ25" s="149"/>
      <c r="BK25" s="149"/>
      <c r="BL25" s="149"/>
      <c r="BM25" s="149"/>
      <c r="BN25" s="149"/>
      <c r="BO25" s="149"/>
      <c r="BP25" s="149">
        <v>12.608159585550958</v>
      </c>
      <c r="BQ25" s="149">
        <f t="shared" ca="1" si="1"/>
        <v>12.398774548312186</v>
      </c>
      <c r="BR25" s="149">
        <v>24.767010468101578</v>
      </c>
      <c r="BS25" s="149">
        <v>24.291790294448727</v>
      </c>
      <c r="BT25" s="149">
        <f t="shared" ca="1" si="0"/>
        <v>792.91503506448066</v>
      </c>
      <c r="BU25" s="153">
        <v>28999.528619835059</v>
      </c>
      <c r="BV25" s="149">
        <f t="shared" ca="1" si="2"/>
        <v>7.8693354086465592E-3</v>
      </c>
      <c r="BW25" s="1"/>
    </row>
    <row r="26" spans="1:75" x14ac:dyDescent="0.25">
      <c r="A26" s="149">
        <f t="shared" si="3"/>
        <v>25</v>
      </c>
      <c r="B26" s="150">
        <f t="shared" si="5"/>
        <v>44251</v>
      </c>
      <c r="C26" s="151">
        <v>0.45833333333333331</v>
      </c>
      <c r="D26" s="149" t="s">
        <v>142</v>
      </c>
      <c r="E26" s="149" t="s">
        <v>143</v>
      </c>
      <c r="F26" s="149" t="s">
        <v>144</v>
      </c>
      <c r="G26" s="149">
        <v>123456</v>
      </c>
      <c r="H26" s="149">
        <v>4</v>
      </c>
      <c r="I26" s="149">
        <v>29250</v>
      </c>
      <c r="J26" s="149" t="s">
        <v>137</v>
      </c>
      <c r="K26" s="149" t="s">
        <v>83</v>
      </c>
      <c r="L26" s="149" t="s">
        <v>81</v>
      </c>
      <c r="M26" s="149">
        <v>3</v>
      </c>
      <c r="N26" s="149">
        <v>2000</v>
      </c>
      <c r="O26" s="149">
        <v>2.1</v>
      </c>
      <c r="P26" s="149" t="s">
        <v>75</v>
      </c>
      <c r="Q26" s="149">
        <v>2.16E-5</v>
      </c>
      <c r="R26" s="149">
        <v>1965000</v>
      </c>
      <c r="S26" s="149"/>
      <c r="T26" s="152"/>
      <c r="U26" s="152"/>
      <c r="V26" s="149"/>
      <c r="W26" s="149"/>
      <c r="X26" s="149"/>
      <c r="Y26" s="149"/>
      <c r="Z26" s="149"/>
      <c r="AA26" s="149"/>
      <c r="AB26" s="149"/>
      <c r="AC26" s="149"/>
      <c r="AD26" s="149"/>
      <c r="AE26" s="149"/>
      <c r="AF26" s="149"/>
      <c r="AG26" s="149"/>
      <c r="AH26" s="149"/>
      <c r="AI26" s="149"/>
      <c r="AJ26" s="149"/>
      <c r="AK26" s="149"/>
      <c r="AL26" s="149"/>
      <c r="AM26" s="149"/>
      <c r="AN26" s="149"/>
      <c r="AO26" s="149"/>
      <c r="AP26" s="149"/>
      <c r="AQ26" s="149"/>
      <c r="AR26" s="149"/>
      <c r="AS26" s="149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49"/>
      <c r="BE26" s="149"/>
      <c r="BF26" s="149"/>
      <c r="BG26" s="149"/>
      <c r="BH26" s="149"/>
      <c r="BI26" s="149"/>
      <c r="BJ26" s="149"/>
      <c r="BK26" s="149"/>
      <c r="BL26" s="149"/>
      <c r="BM26" s="149"/>
      <c r="BN26" s="149"/>
      <c r="BO26" s="149"/>
      <c r="BP26" s="149">
        <v>13.690273699365591</v>
      </c>
      <c r="BQ26" s="149">
        <f t="shared" ca="1" si="1"/>
        <v>13.344727096071805</v>
      </c>
      <c r="BR26" s="149">
        <v>20.072667584616575</v>
      </c>
      <c r="BS26" s="149">
        <v>19.576767430094097</v>
      </c>
      <c r="BT26" s="149">
        <f t="shared" ca="1" si="0"/>
        <v>659.29805911090955</v>
      </c>
      <c r="BU26" s="153">
        <v>27139.085405984053</v>
      </c>
      <c r="BV26" s="149">
        <f t="shared" ca="1" si="2"/>
        <v>1.2564794774679675E-2</v>
      </c>
      <c r="BW26" s="1"/>
    </row>
    <row r="27" spans="1:75" x14ac:dyDescent="0.25">
      <c r="A27" s="149">
        <f t="shared" si="3"/>
        <v>26</v>
      </c>
      <c r="B27" s="150" t="s">
        <v>146</v>
      </c>
      <c r="C27" s="151">
        <v>0.45833333333333331</v>
      </c>
      <c r="D27" s="149" t="s">
        <v>142</v>
      </c>
      <c r="E27" s="149" t="s">
        <v>143</v>
      </c>
      <c r="F27" s="149" t="s">
        <v>144</v>
      </c>
      <c r="G27" s="149">
        <v>123456</v>
      </c>
      <c r="H27" s="149">
        <v>4</v>
      </c>
      <c r="I27" s="149">
        <v>29250</v>
      </c>
      <c r="J27" s="149" t="s">
        <v>137</v>
      </c>
      <c r="K27" s="149" t="s">
        <v>83</v>
      </c>
      <c r="L27" s="149" t="s">
        <v>81</v>
      </c>
      <c r="M27" s="149">
        <v>3</v>
      </c>
      <c r="N27" s="149">
        <v>2000</v>
      </c>
      <c r="O27" s="149">
        <v>2.1</v>
      </c>
      <c r="P27" s="149" t="s">
        <v>75</v>
      </c>
      <c r="Q27" s="149">
        <v>2.16E-5</v>
      </c>
      <c r="R27" s="149">
        <v>1965000</v>
      </c>
      <c r="S27" s="149"/>
      <c r="T27" s="152"/>
      <c r="U27" s="152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9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49"/>
      <c r="BE27" s="149"/>
      <c r="BF27" s="149"/>
      <c r="BG27" s="149"/>
      <c r="BH27" s="149"/>
      <c r="BI27" s="149"/>
      <c r="BJ27" s="149"/>
      <c r="BK27" s="149"/>
      <c r="BL27" s="149"/>
      <c r="BM27" s="149"/>
      <c r="BN27" s="149"/>
      <c r="BO27" s="149"/>
      <c r="BP27" s="149">
        <v>13.690273699365591</v>
      </c>
      <c r="BQ27" s="149">
        <v>13.22145681019003</v>
      </c>
      <c r="BR27" s="149">
        <v>20.072667584616575</v>
      </c>
      <c r="BS27" s="149">
        <v>19.576767430094097</v>
      </c>
      <c r="BT27" s="149">
        <v>774.82272083583939</v>
      </c>
      <c r="BU27" s="153">
        <v>30500</v>
      </c>
      <c r="BV27" s="149">
        <v>1.4414059395817099E-2</v>
      </c>
      <c r="BW27" s="1"/>
    </row>
    <row r="28" spans="1:75" x14ac:dyDescent="0.25">
      <c r="A28" s="149">
        <f t="shared" si="3"/>
        <v>27</v>
      </c>
      <c r="B28" s="150">
        <f t="shared" si="5"/>
        <v>44222</v>
      </c>
      <c r="C28" s="151">
        <v>0.45833333333333331</v>
      </c>
      <c r="D28" s="149" t="s">
        <v>142</v>
      </c>
      <c r="E28" s="149" t="s">
        <v>143</v>
      </c>
      <c r="F28" s="149" t="s">
        <v>144</v>
      </c>
      <c r="G28" s="149">
        <v>123821</v>
      </c>
      <c r="H28" s="149">
        <v>4</v>
      </c>
      <c r="I28" s="149">
        <v>28045</v>
      </c>
      <c r="J28" s="149" t="s">
        <v>145</v>
      </c>
      <c r="K28" s="149" t="s">
        <v>83</v>
      </c>
      <c r="L28" s="149" t="s">
        <v>81</v>
      </c>
      <c r="M28" s="149">
        <v>3</v>
      </c>
      <c r="N28" s="149">
        <v>2000</v>
      </c>
      <c r="O28" s="149">
        <v>2.1</v>
      </c>
      <c r="P28" s="149" t="s">
        <v>75</v>
      </c>
      <c r="Q28" s="149">
        <v>2.16E-5</v>
      </c>
      <c r="R28" s="149">
        <v>1965000</v>
      </c>
      <c r="S28" s="149"/>
      <c r="T28" s="152"/>
      <c r="U28" s="152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149"/>
      <c r="AG28" s="149"/>
      <c r="AH28" s="149"/>
      <c r="AI28" s="149"/>
      <c r="AJ28" s="149"/>
      <c r="AK28" s="149"/>
      <c r="AL28" s="149"/>
      <c r="AM28" s="149"/>
      <c r="AN28" s="149"/>
      <c r="AO28" s="149"/>
      <c r="AP28" s="149"/>
      <c r="AQ28" s="149"/>
      <c r="AR28" s="149"/>
      <c r="AS28" s="149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49"/>
      <c r="BE28" s="149"/>
      <c r="BF28" s="149"/>
      <c r="BG28" s="149"/>
      <c r="BH28" s="149"/>
      <c r="BI28" s="149"/>
      <c r="BJ28" s="149"/>
      <c r="BK28" s="149"/>
      <c r="BL28" s="149"/>
      <c r="BM28" s="149"/>
      <c r="BN28" s="149"/>
      <c r="BO28" s="149"/>
      <c r="BP28" s="149">
        <v>14.111536590573476</v>
      </c>
      <c r="BQ28" s="149">
        <f t="shared" ca="1" si="1"/>
        <v>13.686940497479084</v>
      </c>
      <c r="BR28" s="149">
        <v>19.741948452512094</v>
      </c>
      <c r="BS28" s="149">
        <v>19.380119425847635</v>
      </c>
      <c r="BT28" s="149">
        <f t="shared" ca="1" si="0"/>
        <v>600.95775716768571</v>
      </c>
      <c r="BU28" s="153">
        <v>26763.899373324457</v>
      </c>
      <c r="BV28" s="149">
        <f t="shared" ca="1" si="2"/>
        <v>2.7692091727613954E-2</v>
      </c>
      <c r="BW28" s="1"/>
    </row>
    <row r="29" spans="1:75" x14ac:dyDescent="0.25">
      <c r="A29" s="149">
        <f t="shared" si="3"/>
        <v>28</v>
      </c>
      <c r="B29" s="150">
        <f t="shared" si="5"/>
        <v>44223</v>
      </c>
      <c r="C29" s="151">
        <v>0.45833333333333331</v>
      </c>
      <c r="D29" s="149" t="s">
        <v>142</v>
      </c>
      <c r="E29" s="149" t="s">
        <v>143</v>
      </c>
      <c r="F29" s="149" t="s">
        <v>144</v>
      </c>
      <c r="G29" s="149">
        <v>123821</v>
      </c>
      <c r="H29" s="149">
        <v>4</v>
      </c>
      <c r="I29" s="149">
        <v>28045</v>
      </c>
      <c r="J29" s="149" t="s">
        <v>145</v>
      </c>
      <c r="K29" s="149" t="s">
        <v>83</v>
      </c>
      <c r="L29" s="149" t="s">
        <v>81</v>
      </c>
      <c r="M29" s="149">
        <v>3</v>
      </c>
      <c r="N29" s="149">
        <v>2000</v>
      </c>
      <c r="O29" s="149">
        <v>2.1</v>
      </c>
      <c r="P29" s="149" t="s">
        <v>75</v>
      </c>
      <c r="Q29" s="149">
        <v>2.16E-5</v>
      </c>
      <c r="R29" s="149">
        <v>1965000</v>
      </c>
      <c r="S29" s="149"/>
      <c r="T29" s="152"/>
      <c r="U29" s="152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49"/>
      <c r="BE29" s="149"/>
      <c r="BF29" s="149"/>
      <c r="BG29" s="149"/>
      <c r="BH29" s="149"/>
      <c r="BI29" s="149"/>
      <c r="BJ29" s="149"/>
      <c r="BK29" s="149"/>
      <c r="BL29" s="149"/>
      <c r="BM29" s="149"/>
      <c r="BN29" s="149"/>
      <c r="BO29" s="149"/>
      <c r="BP29" s="149">
        <v>12.31029687061179</v>
      </c>
      <c r="BQ29" s="149">
        <f t="shared" ca="1" si="1"/>
        <v>12.087627685696148</v>
      </c>
      <c r="BR29" s="149">
        <v>19.213063180589618</v>
      </c>
      <c r="BS29" s="149">
        <v>18.948472540425914</v>
      </c>
      <c r="BT29" s="149">
        <f t="shared" ca="1" si="0"/>
        <v>710.89393250264652</v>
      </c>
      <c r="BU29" s="153">
        <v>26916.924288250055</v>
      </c>
      <c r="BV29" s="149">
        <f t="shared" ca="1" si="2"/>
        <v>5.2730079765617652E-3</v>
      </c>
      <c r="BW29" s="1"/>
    </row>
    <row r="30" spans="1:75" x14ac:dyDescent="0.25">
      <c r="A30" s="149">
        <f t="shared" si="3"/>
        <v>29</v>
      </c>
      <c r="B30" s="150">
        <f t="shared" si="5"/>
        <v>44224</v>
      </c>
      <c r="C30" s="151">
        <v>0.45833333333333331</v>
      </c>
      <c r="D30" s="149" t="s">
        <v>142</v>
      </c>
      <c r="E30" s="149" t="s">
        <v>143</v>
      </c>
      <c r="F30" s="149" t="s">
        <v>144</v>
      </c>
      <c r="G30" s="149">
        <v>123456</v>
      </c>
      <c r="H30" s="149">
        <v>4</v>
      </c>
      <c r="I30" s="149">
        <v>29250</v>
      </c>
      <c r="J30" s="149" t="s">
        <v>137</v>
      </c>
      <c r="K30" s="149" t="s">
        <v>83</v>
      </c>
      <c r="L30" s="149" t="s">
        <v>81</v>
      </c>
      <c r="M30" s="149">
        <v>3</v>
      </c>
      <c r="N30" s="149">
        <v>2000</v>
      </c>
      <c r="O30" s="149">
        <v>2.1</v>
      </c>
      <c r="P30" s="149" t="s">
        <v>75</v>
      </c>
      <c r="Q30" s="149">
        <v>2.16E-5</v>
      </c>
      <c r="R30" s="149">
        <v>1965000</v>
      </c>
      <c r="S30" s="149"/>
      <c r="T30" s="152"/>
      <c r="U30" s="152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>
        <v>14.361965539662062</v>
      </c>
      <c r="BQ30" s="149">
        <f t="shared" ca="1" si="1"/>
        <v>14.212907854520367</v>
      </c>
      <c r="BR30" s="149">
        <v>23.309868422870032</v>
      </c>
      <c r="BS30" s="149">
        <v>23.021721466622189</v>
      </c>
      <c r="BT30" s="149">
        <f t="shared" ca="1" si="0"/>
        <v>767.28128387735705</v>
      </c>
      <c r="BU30" s="153">
        <v>29625.605667920867</v>
      </c>
      <c r="BV30" s="149">
        <f t="shared" ca="1" si="2"/>
        <v>1.0420940654201889E-2</v>
      </c>
      <c r="BW30" s="1"/>
    </row>
    <row r="31" spans="1:75" x14ac:dyDescent="0.25">
      <c r="A31" s="149">
        <f t="shared" si="3"/>
        <v>30</v>
      </c>
      <c r="B31" s="150">
        <f t="shared" si="5"/>
        <v>44225</v>
      </c>
      <c r="C31" s="151">
        <v>0.45833333333333331</v>
      </c>
      <c r="D31" s="149" t="s">
        <v>142</v>
      </c>
      <c r="E31" s="149" t="s">
        <v>143</v>
      </c>
      <c r="F31" s="149" t="s">
        <v>144</v>
      </c>
      <c r="G31" s="149">
        <v>123456</v>
      </c>
      <c r="H31" s="149">
        <v>4</v>
      </c>
      <c r="I31" s="149">
        <v>29250</v>
      </c>
      <c r="J31" s="149" t="s">
        <v>137</v>
      </c>
      <c r="K31" s="149" t="s">
        <v>83</v>
      </c>
      <c r="L31" s="149" t="s">
        <v>81</v>
      </c>
      <c r="M31" s="149">
        <v>3</v>
      </c>
      <c r="N31" s="149">
        <v>2000</v>
      </c>
      <c r="O31" s="149">
        <v>2.1</v>
      </c>
      <c r="P31" s="149" t="s">
        <v>75</v>
      </c>
      <c r="Q31" s="149">
        <v>2.16E-5</v>
      </c>
      <c r="R31" s="149">
        <v>1965000</v>
      </c>
      <c r="S31" s="149"/>
      <c r="T31" s="152"/>
      <c r="U31" s="152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  <c r="AJ31" s="149"/>
      <c r="AK31" s="149"/>
      <c r="AL31" s="149"/>
      <c r="AM31" s="149"/>
      <c r="AN31" s="149"/>
      <c r="AO31" s="149"/>
      <c r="AP31" s="149"/>
      <c r="AQ31" s="149"/>
      <c r="AR31" s="149"/>
      <c r="AS31" s="149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49"/>
      <c r="BE31" s="149"/>
      <c r="BF31" s="149"/>
      <c r="BG31" s="149"/>
      <c r="BH31" s="149"/>
      <c r="BI31" s="149"/>
      <c r="BJ31" s="149"/>
      <c r="BK31" s="149"/>
      <c r="BL31" s="149"/>
      <c r="BM31" s="149"/>
      <c r="BN31" s="149"/>
      <c r="BO31" s="149"/>
      <c r="BP31" s="149">
        <v>13.46495270974374</v>
      </c>
      <c r="BQ31" s="149">
        <f t="shared" ca="1" si="1"/>
        <v>13.117997151593721</v>
      </c>
      <c r="BR31" s="149">
        <v>19.300967446561312</v>
      </c>
      <c r="BS31" s="149">
        <v>19.221111051388828</v>
      </c>
      <c r="BT31" s="149">
        <f t="shared" ca="1" si="0"/>
        <v>712.12585496201666</v>
      </c>
      <c r="BU31" s="153">
        <v>28667.729086724892</v>
      </c>
      <c r="BV31" s="149">
        <f t="shared" ca="1" si="2"/>
        <v>5.1686912327386083E-3</v>
      </c>
      <c r="BW31" s="1"/>
    </row>
    <row r="32" spans="1:75" x14ac:dyDescent="0.25">
      <c r="A32" s="149">
        <f t="shared" si="3"/>
        <v>31</v>
      </c>
      <c r="B32" s="150">
        <f t="shared" si="5"/>
        <v>44226</v>
      </c>
      <c r="C32" s="151">
        <v>0.45833333333333331</v>
      </c>
      <c r="D32" s="149" t="s">
        <v>142</v>
      </c>
      <c r="E32" s="149" t="s">
        <v>143</v>
      </c>
      <c r="F32" s="149" t="s">
        <v>144</v>
      </c>
      <c r="G32" s="149">
        <v>123821</v>
      </c>
      <c r="H32" s="149">
        <v>4</v>
      </c>
      <c r="I32" s="149">
        <v>28045</v>
      </c>
      <c r="J32" s="149" t="s">
        <v>145</v>
      </c>
      <c r="K32" s="149" t="s">
        <v>83</v>
      </c>
      <c r="L32" s="149" t="s">
        <v>81</v>
      </c>
      <c r="M32" s="149">
        <v>3</v>
      </c>
      <c r="N32" s="149">
        <v>2000</v>
      </c>
      <c r="O32" s="149">
        <v>2.1</v>
      </c>
      <c r="P32" s="149" t="s">
        <v>75</v>
      </c>
      <c r="Q32" s="149">
        <v>2.16E-5</v>
      </c>
      <c r="R32" s="149">
        <v>1965000</v>
      </c>
      <c r="S32" s="149"/>
      <c r="T32" s="152"/>
      <c r="U32" s="152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9"/>
      <c r="AS32" s="149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149"/>
      <c r="BL32" s="149"/>
      <c r="BM32" s="149"/>
      <c r="BN32" s="149"/>
      <c r="BO32" s="149"/>
      <c r="BP32" s="149">
        <v>14.738351591517262</v>
      </c>
      <c r="BQ32" s="149">
        <f t="shared" ca="1" si="1"/>
        <v>14.299818410349564</v>
      </c>
      <c r="BR32" s="149">
        <v>22.844988414835527</v>
      </c>
      <c r="BS32" s="149">
        <v>22.73844683019405</v>
      </c>
      <c r="BT32" s="149">
        <f t="shared" ca="1" si="0"/>
        <v>617.75832836686686</v>
      </c>
      <c r="BU32" s="153">
        <v>28938.250359011097</v>
      </c>
      <c r="BV32" s="149">
        <f t="shared" ca="1" si="2"/>
        <v>1.3732155054512075E-2</v>
      </c>
      <c r="BW32" s="1"/>
    </row>
    <row r="33" spans="1:75" x14ac:dyDescent="0.25">
      <c r="A33" s="149">
        <f t="shared" si="3"/>
        <v>32</v>
      </c>
      <c r="B33" s="150">
        <f t="shared" si="5"/>
        <v>44227</v>
      </c>
      <c r="C33" s="151">
        <v>0.45833333333333331</v>
      </c>
      <c r="D33" s="149" t="s">
        <v>142</v>
      </c>
      <c r="E33" s="149" t="s">
        <v>143</v>
      </c>
      <c r="F33" s="149" t="s">
        <v>144</v>
      </c>
      <c r="G33" s="149">
        <v>123821</v>
      </c>
      <c r="H33" s="149">
        <v>4</v>
      </c>
      <c r="I33" s="149">
        <v>28045</v>
      </c>
      <c r="J33" s="149" t="s">
        <v>145</v>
      </c>
      <c r="K33" s="149" t="s">
        <v>83</v>
      </c>
      <c r="L33" s="149" t="s">
        <v>81</v>
      </c>
      <c r="M33" s="149">
        <v>3</v>
      </c>
      <c r="N33" s="149">
        <v>2000</v>
      </c>
      <c r="O33" s="149">
        <v>2.1</v>
      </c>
      <c r="P33" s="149" t="s">
        <v>75</v>
      </c>
      <c r="Q33" s="149">
        <v>2.16E-5</v>
      </c>
      <c r="R33" s="149">
        <v>1965000</v>
      </c>
      <c r="S33" s="149"/>
      <c r="T33" s="152"/>
      <c r="U33" s="152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  <c r="AG33" s="149"/>
      <c r="AH33" s="149"/>
      <c r="AI33" s="149"/>
      <c r="AJ33" s="149"/>
      <c r="AK33" s="149"/>
      <c r="AL33" s="149"/>
      <c r="AM33" s="149"/>
      <c r="AN33" s="149"/>
      <c r="AO33" s="149"/>
      <c r="AP33" s="149"/>
      <c r="AQ33" s="149"/>
      <c r="AR33" s="149"/>
      <c r="AS33" s="149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49"/>
      <c r="BE33" s="149"/>
      <c r="BF33" s="149"/>
      <c r="BG33" s="149"/>
      <c r="BH33" s="149"/>
      <c r="BI33" s="149"/>
      <c r="BJ33" s="149"/>
      <c r="BK33" s="149"/>
      <c r="BL33" s="149"/>
      <c r="BM33" s="149"/>
      <c r="BN33" s="149"/>
      <c r="BO33" s="149"/>
      <c r="BP33" s="149">
        <v>14.792337922647331</v>
      </c>
      <c r="BQ33" s="149">
        <f t="shared" ca="1" si="1"/>
        <v>14.619410258782409</v>
      </c>
      <c r="BR33" s="149">
        <v>24.147767446106634</v>
      </c>
      <c r="BS33" s="149">
        <v>23.836111707988881</v>
      </c>
      <c r="BT33" s="149">
        <f t="shared" ca="1" si="0"/>
        <v>740.30083277251208</v>
      </c>
      <c r="BU33" s="153">
        <v>27394.368632166821</v>
      </c>
      <c r="BV33" s="149">
        <f t="shared" ca="1" si="2"/>
        <v>6.5232684371145915E-3</v>
      </c>
      <c r="BW33" s="1"/>
    </row>
    <row r="34" spans="1:75" x14ac:dyDescent="0.25">
      <c r="A34" s="149">
        <f t="shared" si="3"/>
        <v>33</v>
      </c>
      <c r="B34" s="150">
        <f t="shared" si="5"/>
        <v>44228</v>
      </c>
      <c r="C34" s="151">
        <v>0.45833333333333331</v>
      </c>
      <c r="D34" s="149" t="s">
        <v>142</v>
      </c>
      <c r="E34" s="149" t="s">
        <v>143</v>
      </c>
      <c r="F34" s="149" t="s">
        <v>144</v>
      </c>
      <c r="G34" s="149">
        <v>123456</v>
      </c>
      <c r="H34" s="149">
        <v>4</v>
      </c>
      <c r="I34" s="149">
        <v>29250</v>
      </c>
      <c r="J34" s="149" t="s">
        <v>137</v>
      </c>
      <c r="K34" s="149" t="s">
        <v>83</v>
      </c>
      <c r="L34" s="149" t="s">
        <v>81</v>
      </c>
      <c r="M34" s="149">
        <v>3</v>
      </c>
      <c r="N34" s="149">
        <v>2000</v>
      </c>
      <c r="O34" s="149">
        <v>2.1</v>
      </c>
      <c r="P34" s="149" t="s">
        <v>75</v>
      </c>
      <c r="Q34" s="149">
        <v>2.16E-5</v>
      </c>
      <c r="R34" s="149">
        <v>1965000</v>
      </c>
      <c r="S34" s="149"/>
      <c r="T34" s="152"/>
      <c r="U34" s="152"/>
      <c r="V34" s="149"/>
      <c r="W34" s="149"/>
      <c r="X34" s="149"/>
      <c r="Y34" s="149"/>
      <c r="Z34" s="149"/>
      <c r="AA34" s="149"/>
      <c r="AB34" s="149"/>
      <c r="AC34" s="149"/>
      <c r="AD34" s="149"/>
      <c r="AE34" s="149"/>
      <c r="AF34" s="149"/>
      <c r="AG34" s="149"/>
      <c r="AH34" s="149"/>
      <c r="AI34" s="149"/>
      <c r="AJ34" s="149"/>
      <c r="AK34" s="149"/>
      <c r="AL34" s="149"/>
      <c r="AM34" s="149"/>
      <c r="AN34" s="149"/>
      <c r="AO34" s="149"/>
      <c r="AP34" s="149"/>
      <c r="AQ34" s="149"/>
      <c r="AR34" s="149"/>
      <c r="AS34" s="149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49"/>
      <c r="BE34" s="149"/>
      <c r="BF34" s="149"/>
      <c r="BG34" s="149"/>
      <c r="BH34" s="149"/>
      <c r="BI34" s="149"/>
      <c r="BJ34" s="149"/>
      <c r="BK34" s="149"/>
      <c r="BL34" s="149"/>
      <c r="BM34" s="149"/>
      <c r="BN34" s="149"/>
      <c r="BO34" s="149"/>
      <c r="BP34" s="149">
        <v>12.511932475124906</v>
      </c>
      <c r="BQ34" s="149">
        <f t="shared" ca="1" si="1"/>
        <v>12.060175512366374</v>
      </c>
      <c r="BR34" s="149">
        <v>18.49645566138226</v>
      </c>
      <c r="BS34" s="149">
        <v>18.000848266561906</v>
      </c>
      <c r="BT34" s="149">
        <f t="shared" ca="1" si="0"/>
        <v>725.89260220722576</v>
      </c>
      <c r="BU34" s="153">
        <v>29397.169393991189</v>
      </c>
      <c r="BV34" s="149">
        <f t="shared" ca="1" si="2"/>
        <v>2.374275565538194E-2</v>
      </c>
      <c r="BW34" s="1"/>
    </row>
    <row r="35" spans="1:75" x14ac:dyDescent="0.25">
      <c r="A35" s="149">
        <f t="shared" si="3"/>
        <v>34</v>
      </c>
      <c r="B35" s="150">
        <f t="shared" si="5"/>
        <v>44229</v>
      </c>
      <c r="C35" s="151">
        <v>0.45833333333333331</v>
      </c>
      <c r="D35" s="149" t="s">
        <v>142</v>
      </c>
      <c r="E35" s="149" t="s">
        <v>143</v>
      </c>
      <c r="F35" s="149" t="s">
        <v>144</v>
      </c>
      <c r="G35" s="149">
        <v>123456</v>
      </c>
      <c r="H35" s="149">
        <v>4</v>
      </c>
      <c r="I35" s="149">
        <v>29250</v>
      </c>
      <c r="J35" s="149" t="s">
        <v>137</v>
      </c>
      <c r="K35" s="149" t="s">
        <v>83</v>
      </c>
      <c r="L35" s="149" t="s">
        <v>81</v>
      </c>
      <c r="M35" s="149">
        <v>3</v>
      </c>
      <c r="N35" s="149">
        <v>2000</v>
      </c>
      <c r="O35" s="149">
        <v>2.1</v>
      </c>
      <c r="P35" s="149" t="s">
        <v>75</v>
      </c>
      <c r="Q35" s="149">
        <v>2.16E-5</v>
      </c>
      <c r="R35" s="149">
        <v>1965000</v>
      </c>
      <c r="S35" s="149"/>
      <c r="T35" s="152"/>
      <c r="U35" s="152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  <c r="AI35" s="149"/>
      <c r="AJ35" s="149"/>
      <c r="AK35" s="149"/>
      <c r="AL35" s="149"/>
      <c r="AM35" s="149"/>
      <c r="AN35" s="149"/>
      <c r="AO35" s="149"/>
      <c r="AP35" s="149"/>
      <c r="AQ35" s="149"/>
      <c r="AR35" s="149"/>
      <c r="AS35" s="149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49"/>
      <c r="BE35" s="149"/>
      <c r="BF35" s="149"/>
      <c r="BG35" s="149"/>
      <c r="BH35" s="149"/>
      <c r="BI35" s="149"/>
      <c r="BJ35" s="149"/>
      <c r="BK35" s="149"/>
      <c r="BL35" s="149"/>
      <c r="BM35" s="149"/>
      <c r="BN35" s="149"/>
      <c r="BO35" s="149"/>
      <c r="BP35" s="149">
        <v>14.806871420661736</v>
      </c>
      <c r="BQ35" s="149">
        <f t="shared" ca="1" si="1"/>
        <v>14.44701778183795</v>
      </c>
      <c r="BR35" s="149">
        <v>22.478166568881086</v>
      </c>
      <c r="BS35" s="149">
        <v>22.070378911752762</v>
      </c>
      <c r="BT35" s="149">
        <f t="shared" ca="1" si="0"/>
        <v>785.6124673655529</v>
      </c>
      <c r="BU35" s="153">
        <v>28176.927910760594</v>
      </c>
      <c r="BV35" s="149">
        <f t="shared" ca="1" si="2"/>
        <v>2.0091563745767076E-2</v>
      </c>
      <c r="BW35" s="1"/>
    </row>
    <row r="36" spans="1:75" x14ac:dyDescent="0.25">
      <c r="A36" s="149">
        <f t="shared" si="3"/>
        <v>35</v>
      </c>
      <c r="B36" s="150">
        <f t="shared" si="5"/>
        <v>44230</v>
      </c>
      <c r="C36" s="151">
        <v>0.45833333333333331</v>
      </c>
      <c r="D36" s="149" t="s">
        <v>142</v>
      </c>
      <c r="E36" s="149" t="s">
        <v>143</v>
      </c>
      <c r="F36" s="149" t="s">
        <v>144</v>
      </c>
      <c r="G36" s="149">
        <v>123821</v>
      </c>
      <c r="H36" s="149">
        <v>4</v>
      </c>
      <c r="I36" s="149">
        <v>28045</v>
      </c>
      <c r="J36" s="149" t="s">
        <v>145</v>
      </c>
      <c r="K36" s="149" t="s">
        <v>83</v>
      </c>
      <c r="L36" s="149" t="s">
        <v>81</v>
      </c>
      <c r="M36" s="149">
        <v>3</v>
      </c>
      <c r="N36" s="149">
        <v>2000</v>
      </c>
      <c r="O36" s="149">
        <v>2.1</v>
      </c>
      <c r="P36" s="149" t="s">
        <v>75</v>
      </c>
      <c r="Q36" s="149">
        <v>2.16E-5</v>
      </c>
      <c r="R36" s="149">
        <v>1965000</v>
      </c>
      <c r="S36" s="149"/>
      <c r="T36" s="152"/>
      <c r="U36" s="152"/>
      <c r="V36" s="149"/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  <c r="AJ36" s="149"/>
      <c r="AK36" s="149"/>
      <c r="AL36" s="149"/>
      <c r="AM36" s="149"/>
      <c r="AN36" s="149"/>
      <c r="AO36" s="149"/>
      <c r="AP36" s="149"/>
      <c r="AQ36" s="149"/>
      <c r="AR36" s="149"/>
      <c r="AS36" s="149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49"/>
      <c r="BE36" s="149"/>
      <c r="BF36" s="149"/>
      <c r="BG36" s="149"/>
      <c r="BH36" s="149"/>
      <c r="BI36" s="149"/>
      <c r="BJ36" s="149"/>
      <c r="BK36" s="149"/>
      <c r="BL36" s="149"/>
      <c r="BM36" s="149"/>
      <c r="BN36" s="149"/>
      <c r="BO36" s="149"/>
      <c r="BP36" s="149">
        <v>14.081451575292279</v>
      </c>
      <c r="BQ36" s="149">
        <f t="shared" ca="1" si="1"/>
        <v>13.723291051656737</v>
      </c>
      <c r="BR36" s="149">
        <v>24.400334053095058</v>
      </c>
      <c r="BS36" s="149">
        <v>24.241355372711787</v>
      </c>
      <c r="BT36" s="149">
        <f t="shared" ca="1" si="0"/>
        <v>620.49739795439712</v>
      </c>
      <c r="BU36" s="153">
        <v>29122.704090259216</v>
      </c>
      <c r="BV36" s="149">
        <f t="shared" ca="1" si="2"/>
        <v>2.4731770356937039E-2</v>
      </c>
      <c r="BW36" s="1"/>
    </row>
    <row r="37" spans="1:75" x14ac:dyDescent="0.25">
      <c r="A37" s="149">
        <f t="shared" si="3"/>
        <v>36</v>
      </c>
      <c r="B37" s="150">
        <f t="shared" si="5"/>
        <v>44231</v>
      </c>
      <c r="C37" s="151">
        <v>0.45833333333333331</v>
      </c>
      <c r="D37" s="149" t="s">
        <v>142</v>
      </c>
      <c r="E37" s="149" t="s">
        <v>143</v>
      </c>
      <c r="F37" s="149" t="s">
        <v>144</v>
      </c>
      <c r="G37" s="149">
        <v>123821</v>
      </c>
      <c r="H37" s="149">
        <v>4</v>
      </c>
      <c r="I37" s="149">
        <v>28045</v>
      </c>
      <c r="J37" s="149" t="s">
        <v>145</v>
      </c>
      <c r="K37" s="149" t="s">
        <v>83</v>
      </c>
      <c r="L37" s="149" t="s">
        <v>81</v>
      </c>
      <c r="M37" s="149">
        <v>3</v>
      </c>
      <c r="N37" s="149">
        <v>2000</v>
      </c>
      <c r="O37" s="149">
        <v>2.1</v>
      </c>
      <c r="P37" s="149" t="s">
        <v>75</v>
      </c>
      <c r="Q37" s="149">
        <v>2.16E-5</v>
      </c>
      <c r="R37" s="149">
        <v>1965000</v>
      </c>
      <c r="S37" s="149"/>
      <c r="T37" s="152"/>
      <c r="U37" s="152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  <c r="AJ37" s="149"/>
      <c r="AK37" s="149"/>
      <c r="AL37" s="149"/>
      <c r="AM37" s="149"/>
      <c r="AN37" s="149"/>
      <c r="AO37" s="149"/>
      <c r="AP37" s="149"/>
      <c r="AQ37" s="149"/>
      <c r="AR37" s="149"/>
      <c r="AS37" s="149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49"/>
      <c r="BE37" s="149"/>
      <c r="BF37" s="149"/>
      <c r="BG37" s="149"/>
      <c r="BH37" s="149"/>
      <c r="BI37" s="149"/>
      <c r="BJ37" s="149"/>
      <c r="BK37" s="149"/>
      <c r="BL37" s="149"/>
      <c r="BM37" s="149"/>
      <c r="BN37" s="149"/>
      <c r="BO37" s="149"/>
      <c r="BP37" s="149">
        <v>14.026397714095122</v>
      </c>
      <c r="BQ37" s="149">
        <f t="shared" ca="1" si="1"/>
        <v>13.717813657669161</v>
      </c>
      <c r="BR37" s="149">
        <v>19.36180585709641</v>
      </c>
      <c r="BS37" s="149">
        <v>19.198831310460491</v>
      </c>
      <c r="BT37" s="149">
        <f t="shared" ca="1" si="0"/>
        <v>767.48995563590199</v>
      </c>
      <c r="BU37" s="153">
        <v>29791.231865003767</v>
      </c>
      <c r="BV37" s="149">
        <f t="shared" ca="1" si="2"/>
        <v>2.1080333451518423E-2</v>
      </c>
      <c r="BW37" s="1"/>
    </row>
    <row r="38" spans="1:75" x14ac:dyDescent="0.25">
      <c r="A38" s="149">
        <f t="shared" si="3"/>
        <v>37</v>
      </c>
      <c r="B38" s="150">
        <f t="shared" si="5"/>
        <v>44232</v>
      </c>
      <c r="C38" s="151">
        <v>0.45833333333333331</v>
      </c>
      <c r="D38" s="149" t="s">
        <v>142</v>
      </c>
      <c r="E38" s="149" t="s">
        <v>143</v>
      </c>
      <c r="F38" s="149" t="s">
        <v>144</v>
      </c>
      <c r="G38" s="149">
        <v>123456</v>
      </c>
      <c r="H38" s="149">
        <v>4</v>
      </c>
      <c r="I38" s="149">
        <v>29250</v>
      </c>
      <c r="J38" s="149" t="s">
        <v>137</v>
      </c>
      <c r="K38" s="149" t="s">
        <v>83</v>
      </c>
      <c r="L38" s="149" t="s">
        <v>81</v>
      </c>
      <c r="M38" s="149">
        <v>3</v>
      </c>
      <c r="N38" s="149">
        <v>2000</v>
      </c>
      <c r="O38" s="149">
        <v>2.1</v>
      </c>
      <c r="P38" s="149" t="s">
        <v>75</v>
      </c>
      <c r="Q38" s="149">
        <v>2.16E-5</v>
      </c>
      <c r="R38" s="149">
        <v>1965000</v>
      </c>
      <c r="S38" s="149"/>
      <c r="T38" s="152"/>
      <c r="U38" s="152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149"/>
      <c r="AJ38" s="149"/>
      <c r="AK38" s="149"/>
      <c r="AL38" s="149"/>
      <c r="AM38" s="149"/>
      <c r="AN38" s="149"/>
      <c r="AO38" s="149"/>
      <c r="AP38" s="149"/>
      <c r="AQ38" s="149"/>
      <c r="AR38" s="149"/>
      <c r="AS38" s="149"/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49"/>
      <c r="BE38" s="149"/>
      <c r="BF38" s="149"/>
      <c r="BG38" s="149"/>
      <c r="BH38" s="149"/>
      <c r="BI38" s="149"/>
      <c r="BJ38" s="149"/>
      <c r="BK38" s="149"/>
      <c r="BL38" s="149"/>
      <c r="BM38" s="149"/>
      <c r="BN38" s="149"/>
      <c r="BO38" s="149"/>
      <c r="BP38" s="149">
        <v>13.815163393132416</v>
      </c>
      <c r="BQ38" s="149">
        <f t="shared" ca="1" si="1"/>
        <v>13.359898147137162</v>
      </c>
      <c r="BR38" s="149">
        <v>20.593421236710586</v>
      </c>
      <c r="BS38" s="149">
        <v>20.54666565840343</v>
      </c>
      <c r="BT38" s="149">
        <f t="shared" ca="1" si="0"/>
        <v>634.52972446742467</v>
      </c>
      <c r="BU38" s="153">
        <v>29984.380776019025</v>
      </c>
      <c r="BV38" s="149">
        <f t="shared" ca="1" si="2"/>
        <v>2.875428496595539E-2</v>
      </c>
      <c r="BW38" s="1"/>
    </row>
    <row r="39" spans="1:75" x14ac:dyDescent="0.25">
      <c r="A39" s="149">
        <f t="shared" si="3"/>
        <v>38</v>
      </c>
      <c r="B39" s="150">
        <f t="shared" si="5"/>
        <v>44233</v>
      </c>
      <c r="C39" s="151">
        <v>0.45833333333333331</v>
      </c>
      <c r="D39" s="149" t="s">
        <v>142</v>
      </c>
      <c r="E39" s="149" t="s">
        <v>143</v>
      </c>
      <c r="F39" s="149" t="s">
        <v>144</v>
      </c>
      <c r="G39" s="149">
        <v>123456</v>
      </c>
      <c r="H39" s="149">
        <v>4</v>
      </c>
      <c r="I39" s="149">
        <v>29250</v>
      </c>
      <c r="J39" s="149" t="s">
        <v>137</v>
      </c>
      <c r="K39" s="149" t="s">
        <v>83</v>
      </c>
      <c r="L39" s="149" t="s">
        <v>81</v>
      </c>
      <c r="M39" s="149">
        <v>3</v>
      </c>
      <c r="N39" s="149">
        <v>2000</v>
      </c>
      <c r="O39" s="149">
        <v>2.1</v>
      </c>
      <c r="P39" s="149" t="s">
        <v>75</v>
      </c>
      <c r="Q39" s="149">
        <v>2.16E-5</v>
      </c>
      <c r="R39" s="149">
        <v>1965000</v>
      </c>
      <c r="S39" s="149"/>
      <c r="T39" s="152"/>
      <c r="U39" s="152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9"/>
      <c r="BC39" s="149"/>
      <c r="BD39" s="149"/>
      <c r="BE39" s="149"/>
      <c r="BF39" s="149"/>
      <c r="BG39" s="149"/>
      <c r="BH39" s="149"/>
      <c r="BI39" s="149"/>
      <c r="BJ39" s="149"/>
      <c r="BK39" s="149"/>
      <c r="BL39" s="149"/>
      <c r="BM39" s="149"/>
      <c r="BN39" s="149"/>
      <c r="BO39" s="149"/>
      <c r="BP39" s="149">
        <v>14.011410531641737</v>
      </c>
      <c r="BQ39" s="149">
        <f t="shared" ca="1" si="1"/>
        <v>13.765228514204345</v>
      </c>
      <c r="BR39" s="149">
        <v>22.607354597407305</v>
      </c>
      <c r="BS39" s="149">
        <v>22.436651002648983</v>
      </c>
      <c r="BT39" s="149">
        <f t="shared" ca="1" si="0"/>
        <v>610.6170392152917</v>
      </c>
      <c r="BU39" s="153">
        <v>28758.670708685888</v>
      </c>
      <c r="BV39" s="149">
        <f t="shared" ca="1" si="2"/>
        <v>5.3397727834294667E-3</v>
      </c>
      <c r="BW39" s="1"/>
    </row>
    <row r="40" spans="1:75" x14ac:dyDescent="0.25">
      <c r="A40" s="149">
        <f t="shared" si="3"/>
        <v>39</v>
      </c>
      <c r="B40" s="150">
        <f t="shared" si="5"/>
        <v>44234</v>
      </c>
      <c r="C40" s="151">
        <v>0.45833333333333331</v>
      </c>
      <c r="D40" s="149" t="s">
        <v>142</v>
      </c>
      <c r="E40" s="149" t="s">
        <v>143</v>
      </c>
      <c r="F40" s="149" t="s">
        <v>144</v>
      </c>
      <c r="G40" s="149">
        <v>123821</v>
      </c>
      <c r="H40" s="149">
        <v>4</v>
      </c>
      <c r="I40" s="149">
        <v>28045</v>
      </c>
      <c r="J40" s="149" t="s">
        <v>145</v>
      </c>
      <c r="K40" s="149" t="s">
        <v>83</v>
      </c>
      <c r="L40" s="149" t="s">
        <v>81</v>
      </c>
      <c r="M40" s="149">
        <v>3</v>
      </c>
      <c r="N40" s="149">
        <v>2000</v>
      </c>
      <c r="O40" s="149">
        <v>2.1</v>
      </c>
      <c r="P40" s="149" t="s">
        <v>75</v>
      </c>
      <c r="Q40" s="149">
        <v>2.16E-5</v>
      </c>
      <c r="R40" s="149">
        <v>1965000</v>
      </c>
      <c r="S40" s="149"/>
      <c r="T40" s="152"/>
      <c r="U40" s="152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  <c r="AI40" s="149"/>
      <c r="AJ40" s="149"/>
      <c r="AK40" s="149"/>
      <c r="AL40" s="149"/>
      <c r="AM40" s="149"/>
      <c r="AN40" s="149"/>
      <c r="AO40" s="149"/>
      <c r="AP40" s="149"/>
      <c r="AQ40" s="149"/>
      <c r="AR40" s="149"/>
      <c r="AS40" s="149"/>
      <c r="AT40" s="149"/>
      <c r="AU40" s="149"/>
      <c r="AV40" s="149"/>
      <c r="AW40" s="149"/>
      <c r="AX40" s="149"/>
      <c r="AY40" s="149"/>
      <c r="AZ40" s="149"/>
      <c r="BA40" s="149"/>
      <c r="BB40" s="149"/>
      <c r="BC40" s="149"/>
      <c r="BD40" s="149"/>
      <c r="BE40" s="149"/>
      <c r="BF40" s="149"/>
      <c r="BG40" s="149"/>
      <c r="BH40" s="149"/>
      <c r="BI40" s="149"/>
      <c r="BJ40" s="149"/>
      <c r="BK40" s="149"/>
      <c r="BL40" s="149"/>
      <c r="BM40" s="149"/>
      <c r="BN40" s="149"/>
      <c r="BO40" s="149"/>
      <c r="BP40" s="149">
        <v>14.159929117977944</v>
      </c>
      <c r="BQ40" s="149">
        <f t="shared" ca="1" si="1"/>
        <v>13.946687280317809</v>
      </c>
      <c r="BR40" s="149">
        <v>22.051306799180981</v>
      </c>
      <c r="BS40" s="149">
        <v>21.740866673826435</v>
      </c>
      <c r="BT40" s="149">
        <f t="shared" ca="1" si="0"/>
        <v>770.97804240103812</v>
      </c>
      <c r="BU40" s="153">
        <v>27483.592115639796</v>
      </c>
      <c r="BV40" s="149">
        <f t="shared" ca="1" si="2"/>
        <v>2.3668051904789652E-2</v>
      </c>
      <c r="BW40" s="1"/>
    </row>
    <row r="41" spans="1:75" x14ac:dyDescent="0.25">
      <c r="A41" s="149">
        <f t="shared" si="3"/>
        <v>40</v>
      </c>
      <c r="B41" s="150">
        <f t="shared" si="5"/>
        <v>44235</v>
      </c>
      <c r="C41" s="151">
        <v>0.45833333333333331</v>
      </c>
      <c r="D41" s="149" t="s">
        <v>142</v>
      </c>
      <c r="E41" s="149" t="s">
        <v>143</v>
      </c>
      <c r="F41" s="149" t="s">
        <v>144</v>
      </c>
      <c r="G41" s="149">
        <v>123821</v>
      </c>
      <c r="H41" s="149">
        <v>4</v>
      </c>
      <c r="I41" s="149">
        <v>28045</v>
      </c>
      <c r="J41" s="149" t="s">
        <v>145</v>
      </c>
      <c r="K41" s="149" t="s">
        <v>83</v>
      </c>
      <c r="L41" s="149" t="s">
        <v>81</v>
      </c>
      <c r="M41" s="149">
        <v>3</v>
      </c>
      <c r="N41" s="149">
        <v>2000</v>
      </c>
      <c r="O41" s="149">
        <v>2.1</v>
      </c>
      <c r="P41" s="149" t="s">
        <v>75</v>
      </c>
      <c r="Q41" s="149">
        <v>2.16E-5</v>
      </c>
      <c r="R41" s="149">
        <v>1965000</v>
      </c>
      <c r="S41" s="149"/>
      <c r="T41" s="152"/>
      <c r="U41" s="152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  <c r="AI41" s="149"/>
      <c r="AJ41" s="149"/>
      <c r="AK41" s="149"/>
      <c r="AL41" s="149"/>
      <c r="AM41" s="149"/>
      <c r="AN41" s="149"/>
      <c r="AO41" s="149"/>
      <c r="AP41" s="149"/>
      <c r="AQ41" s="149"/>
      <c r="AR41" s="149"/>
      <c r="AS41" s="149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49"/>
      <c r="BE41" s="149"/>
      <c r="BF41" s="149"/>
      <c r="BG41" s="149"/>
      <c r="BH41" s="149"/>
      <c r="BI41" s="149"/>
      <c r="BJ41" s="149"/>
      <c r="BK41" s="149"/>
      <c r="BL41" s="149"/>
      <c r="BM41" s="149"/>
      <c r="BN41" s="149"/>
      <c r="BO41" s="149"/>
      <c r="BP41" s="149">
        <v>13.993303915281619</v>
      </c>
      <c r="BQ41" s="149">
        <f t="shared" ca="1" si="1"/>
        <v>13.809326040830246</v>
      </c>
      <c r="BR41" s="149">
        <v>24.264693356471316</v>
      </c>
      <c r="BS41" s="149">
        <v>23.980894720955789</v>
      </c>
      <c r="BT41" s="149">
        <f t="shared" ca="1" si="0"/>
        <v>729.39664914475918</v>
      </c>
      <c r="BU41" s="153">
        <v>29573.233881410804</v>
      </c>
      <c r="BV41" s="149">
        <f t="shared" ca="1" si="2"/>
        <v>1.552892068504075E-2</v>
      </c>
      <c r="BW41" s="1"/>
    </row>
    <row r="42" spans="1:75" x14ac:dyDescent="0.25">
      <c r="A42" s="149">
        <f t="shared" si="3"/>
        <v>41</v>
      </c>
      <c r="B42" s="150">
        <f t="shared" si="5"/>
        <v>44236</v>
      </c>
      <c r="C42" s="151">
        <v>0.45833333333333331</v>
      </c>
      <c r="D42" s="149" t="s">
        <v>142</v>
      </c>
      <c r="E42" s="149" t="s">
        <v>143</v>
      </c>
      <c r="F42" s="149" t="s">
        <v>144</v>
      </c>
      <c r="G42" s="149">
        <v>123456</v>
      </c>
      <c r="H42" s="149">
        <v>4</v>
      </c>
      <c r="I42" s="149">
        <v>29250</v>
      </c>
      <c r="J42" s="149" t="s">
        <v>137</v>
      </c>
      <c r="K42" s="149" t="s">
        <v>83</v>
      </c>
      <c r="L42" s="149" t="s">
        <v>81</v>
      </c>
      <c r="M42" s="149">
        <v>3</v>
      </c>
      <c r="N42" s="149">
        <v>2000</v>
      </c>
      <c r="O42" s="149">
        <v>2.1</v>
      </c>
      <c r="P42" s="149" t="s">
        <v>75</v>
      </c>
      <c r="Q42" s="149">
        <v>2.16E-5</v>
      </c>
      <c r="R42" s="149">
        <v>1965000</v>
      </c>
      <c r="S42" s="149"/>
      <c r="T42" s="152"/>
      <c r="U42" s="152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9"/>
      <c r="AQ42" s="149"/>
      <c r="AR42" s="149"/>
      <c r="AS42" s="149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49"/>
      <c r="BE42" s="149"/>
      <c r="BF42" s="149"/>
      <c r="BG42" s="149"/>
      <c r="BH42" s="149"/>
      <c r="BI42" s="149"/>
      <c r="BJ42" s="149"/>
      <c r="BK42" s="149"/>
      <c r="BL42" s="149"/>
      <c r="BM42" s="149"/>
      <c r="BN42" s="149"/>
      <c r="BO42" s="149"/>
      <c r="BP42" s="149">
        <v>14.219888609886221</v>
      </c>
      <c r="BQ42" s="149">
        <f t="shared" ca="1" si="1"/>
        <v>13.743441284489963</v>
      </c>
      <c r="BR42" s="149">
        <v>22.267872648075567</v>
      </c>
      <c r="BS42" s="149">
        <v>22.03631552207856</v>
      </c>
      <c r="BT42" s="149">
        <f t="shared" ca="1" si="0"/>
        <v>689.34190011972021</v>
      </c>
      <c r="BU42" s="153">
        <v>28906.405106174414</v>
      </c>
      <c r="BV42" s="149">
        <f t="shared" ca="1" si="2"/>
        <v>2.8201181295854392E-2</v>
      </c>
      <c r="BW42" s="1"/>
    </row>
    <row r="43" spans="1:75" x14ac:dyDescent="0.25">
      <c r="A43" s="149">
        <f t="shared" si="3"/>
        <v>42</v>
      </c>
      <c r="B43" s="150">
        <f t="shared" si="5"/>
        <v>44237</v>
      </c>
      <c r="C43" s="151">
        <v>0.45833333333333331</v>
      </c>
      <c r="D43" s="149" t="s">
        <v>142</v>
      </c>
      <c r="E43" s="149" t="s">
        <v>143</v>
      </c>
      <c r="F43" s="149" t="s">
        <v>144</v>
      </c>
      <c r="G43" s="149">
        <v>123456</v>
      </c>
      <c r="H43" s="149">
        <v>4</v>
      </c>
      <c r="I43" s="149">
        <v>29250</v>
      </c>
      <c r="J43" s="149" t="s">
        <v>137</v>
      </c>
      <c r="K43" s="149" t="s">
        <v>83</v>
      </c>
      <c r="L43" s="149" t="s">
        <v>81</v>
      </c>
      <c r="M43" s="149">
        <v>3</v>
      </c>
      <c r="N43" s="149">
        <v>2000</v>
      </c>
      <c r="O43" s="149">
        <v>2.1</v>
      </c>
      <c r="P43" s="149" t="s">
        <v>75</v>
      </c>
      <c r="Q43" s="149">
        <v>2.16E-5</v>
      </c>
      <c r="R43" s="149">
        <v>1965000</v>
      </c>
      <c r="S43" s="149"/>
      <c r="T43" s="152"/>
      <c r="U43" s="152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  <c r="AW43" s="149"/>
      <c r="AX43" s="149"/>
      <c r="AY43" s="149"/>
      <c r="AZ43" s="149"/>
      <c r="BA43" s="149"/>
      <c r="BB43" s="149"/>
      <c r="BC43" s="149"/>
      <c r="BD43" s="149"/>
      <c r="BE43" s="149"/>
      <c r="BF43" s="149"/>
      <c r="BG43" s="149"/>
      <c r="BH43" s="149"/>
      <c r="BI43" s="149"/>
      <c r="BJ43" s="149"/>
      <c r="BK43" s="149"/>
      <c r="BL43" s="149"/>
      <c r="BM43" s="149"/>
      <c r="BN43" s="149"/>
      <c r="BO43" s="149"/>
      <c r="BP43" s="149">
        <v>12.131595389801873</v>
      </c>
      <c r="BQ43" s="149">
        <f t="shared" ca="1" si="1"/>
        <v>11.724185280213721</v>
      </c>
      <c r="BR43" s="149">
        <v>19.162636523479122</v>
      </c>
      <c r="BS43" s="149">
        <v>18.969907095723883</v>
      </c>
      <c r="BT43" s="149">
        <f t="shared" ca="1" si="0"/>
        <v>641.7394445990044</v>
      </c>
      <c r="BU43" s="153">
        <v>28632.475664113121</v>
      </c>
      <c r="BV43" s="149">
        <f t="shared" ca="1" si="2"/>
        <v>1.9798694470357262E-2</v>
      </c>
      <c r="BW43" s="1"/>
    </row>
    <row r="44" spans="1:75" x14ac:dyDescent="0.25">
      <c r="A44" s="149">
        <f t="shared" si="3"/>
        <v>43</v>
      </c>
      <c r="B44" s="150">
        <f t="shared" si="5"/>
        <v>44238</v>
      </c>
      <c r="C44" s="151">
        <v>0.45833333333333331</v>
      </c>
      <c r="D44" s="149" t="s">
        <v>142</v>
      </c>
      <c r="E44" s="149" t="s">
        <v>143</v>
      </c>
      <c r="F44" s="149" t="s">
        <v>144</v>
      </c>
      <c r="G44" s="149">
        <v>123821</v>
      </c>
      <c r="H44" s="149">
        <v>4</v>
      </c>
      <c r="I44" s="149">
        <v>28045</v>
      </c>
      <c r="J44" s="149" t="s">
        <v>145</v>
      </c>
      <c r="K44" s="149" t="s">
        <v>83</v>
      </c>
      <c r="L44" s="149" t="s">
        <v>81</v>
      </c>
      <c r="M44" s="149">
        <v>3</v>
      </c>
      <c r="N44" s="149">
        <v>2000</v>
      </c>
      <c r="O44" s="149">
        <v>2.1</v>
      </c>
      <c r="P44" s="149" t="s">
        <v>75</v>
      </c>
      <c r="Q44" s="149">
        <v>2.16E-5</v>
      </c>
      <c r="R44" s="149">
        <v>1965000</v>
      </c>
      <c r="S44" s="149"/>
      <c r="T44" s="152"/>
      <c r="U44" s="152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  <c r="BC44" s="149"/>
      <c r="BD44" s="149"/>
      <c r="BE44" s="149"/>
      <c r="BF44" s="149"/>
      <c r="BG44" s="149"/>
      <c r="BH44" s="149"/>
      <c r="BI44" s="149"/>
      <c r="BJ44" s="149"/>
      <c r="BK44" s="149"/>
      <c r="BL44" s="149"/>
      <c r="BM44" s="149"/>
      <c r="BN44" s="149"/>
      <c r="BO44" s="149"/>
      <c r="BP44" s="149">
        <v>12.814486164407233</v>
      </c>
      <c r="BQ44" s="149">
        <f t="shared" ca="1" si="1"/>
        <v>12.441299839780477</v>
      </c>
      <c r="BR44" s="149">
        <v>19.005660332953298</v>
      </c>
      <c r="BS44" s="149">
        <v>18.933697084976103</v>
      </c>
      <c r="BT44" s="149">
        <f t="shared" ca="1" si="0"/>
        <v>651.04382827378981</v>
      </c>
      <c r="BU44" s="153">
        <v>28365.354477399113</v>
      </c>
      <c r="BV44" s="149">
        <f t="shared" ca="1" si="2"/>
        <v>1.2901962160821186E-2</v>
      </c>
      <c r="BW44" s="1"/>
    </row>
    <row r="45" spans="1:75" x14ac:dyDescent="0.25">
      <c r="A45" s="149">
        <f t="shared" si="3"/>
        <v>44</v>
      </c>
      <c r="B45" s="150">
        <f t="shared" si="5"/>
        <v>44239</v>
      </c>
      <c r="C45" s="151">
        <v>0.45833333333333331</v>
      </c>
      <c r="D45" s="149" t="s">
        <v>142</v>
      </c>
      <c r="E45" s="149" t="s">
        <v>143</v>
      </c>
      <c r="F45" s="149" t="s">
        <v>144</v>
      </c>
      <c r="G45" s="149">
        <v>123821</v>
      </c>
      <c r="H45" s="149">
        <v>4</v>
      </c>
      <c r="I45" s="149">
        <v>28045</v>
      </c>
      <c r="J45" s="149" t="s">
        <v>145</v>
      </c>
      <c r="K45" s="149" t="s">
        <v>83</v>
      </c>
      <c r="L45" s="149" t="s">
        <v>81</v>
      </c>
      <c r="M45" s="149">
        <v>3</v>
      </c>
      <c r="N45" s="149">
        <v>2000</v>
      </c>
      <c r="O45" s="149">
        <v>2.1</v>
      </c>
      <c r="P45" s="149" t="s">
        <v>75</v>
      </c>
      <c r="Q45" s="149">
        <v>2.16E-5</v>
      </c>
      <c r="R45" s="149">
        <v>1965000</v>
      </c>
      <c r="S45" s="149"/>
      <c r="T45" s="152"/>
      <c r="U45" s="152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  <c r="AW45" s="149"/>
      <c r="AX45" s="149"/>
      <c r="AY45" s="149"/>
      <c r="AZ45" s="149"/>
      <c r="BA45" s="149"/>
      <c r="BB45" s="149"/>
      <c r="BC45" s="149"/>
      <c r="BD45" s="149"/>
      <c r="BE45" s="149"/>
      <c r="BF45" s="149"/>
      <c r="BG45" s="149"/>
      <c r="BH45" s="149"/>
      <c r="BI45" s="149"/>
      <c r="BJ45" s="149"/>
      <c r="BK45" s="149"/>
      <c r="BL45" s="149"/>
      <c r="BM45" s="149"/>
      <c r="BN45" s="149"/>
      <c r="BO45" s="149"/>
      <c r="BP45" s="149">
        <v>13.073196083485087</v>
      </c>
      <c r="BQ45" s="149">
        <f t="shared" ca="1" si="1"/>
        <v>13.006118022323399</v>
      </c>
      <c r="BR45" s="149">
        <v>21.944992347538594</v>
      </c>
      <c r="BS45" s="149">
        <v>21.599885577220892</v>
      </c>
      <c r="BT45" s="149">
        <f t="shared" ca="1" si="0"/>
        <v>723.63221851230571</v>
      </c>
      <c r="BU45" s="153">
        <v>29269.143752121374</v>
      </c>
      <c r="BV45" s="149">
        <f t="shared" ca="1" si="2"/>
        <v>2.3318176439601171E-2</v>
      </c>
      <c r="BW45" s="1"/>
    </row>
    <row r="46" spans="1:75" x14ac:dyDescent="0.25">
      <c r="A46" s="149">
        <f t="shared" si="3"/>
        <v>45</v>
      </c>
      <c r="B46" s="150">
        <f t="shared" si="5"/>
        <v>44240</v>
      </c>
      <c r="C46" s="151">
        <v>0.45833333333333331</v>
      </c>
      <c r="D46" s="149" t="s">
        <v>142</v>
      </c>
      <c r="E46" s="149" t="s">
        <v>143</v>
      </c>
      <c r="F46" s="149" t="s">
        <v>144</v>
      </c>
      <c r="G46" s="149">
        <v>123456</v>
      </c>
      <c r="H46" s="149">
        <v>4</v>
      </c>
      <c r="I46" s="149">
        <v>29250</v>
      </c>
      <c r="J46" s="149" t="s">
        <v>137</v>
      </c>
      <c r="K46" s="149" t="s">
        <v>83</v>
      </c>
      <c r="L46" s="149" t="s">
        <v>81</v>
      </c>
      <c r="M46" s="149">
        <v>3</v>
      </c>
      <c r="N46" s="149">
        <v>2000</v>
      </c>
      <c r="O46" s="149">
        <v>2.1</v>
      </c>
      <c r="P46" s="149" t="s">
        <v>75</v>
      </c>
      <c r="Q46" s="149">
        <v>2.16E-5</v>
      </c>
      <c r="R46" s="149">
        <v>1965000</v>
      </c>
      <c r="S46" s="149"/>
      <c r="T46" s="155"/>
      <c r="U46" s="152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  <c r="AW46" s="149"/>
      <c r="AX46" s="149"/>
      <c r="AY46" s="149"/>
      <c r="AZ46" s="149"/>
      <c r="BA46" s="149"/>
      <c r="BB46" s="149"/>
      <c r="BC46" s="149"/>
      <c r="BD46" s="149"/>
      <c r="BE46" s="149"/>
      <c r="BF46" s="149"/>
      <c r="BG46" s="149"/>
      <c r="BH46" s="149"/>
      <c r="BI46" s="149"/>
      <c r="BJ46" s="149"/>
      <c r="BK46" s="149"/>
      <c r="BL46" s="149"/>
      <c r="BM46" s="149"/>
      <c r="BN46" s="149"/>
      <c r="BO46" s="149"/>
      <c r="BP46" s="149">
        <v>14.748046674574883</v>
      </c>
      <c r="BQ46" s="149">
        <f t="shared" ca="1" si="1"/>
        <v>14.544318994601861</v>
      </c>
      <c r="BR46" s="149">
        <v>24.327471506787532</v>
      </c>
      <c r="BS46" s="149">
        <v>23.87933968255437</v>
      </c>
      <c r="BT46" s="149">
        <f t="shared" ca="1" si="0"/>
        <v>712.24990448891481</v>
      </c>
      <c r="BU46" s="153">
        <v>28100.1599203814</v>
      </c>
      <c r="BV46" s="149">
        <f t="shared" ca="1" si="2"/>
        <v>1.0592993781666301E-2</v>
      </c>
      <c r="BW46" s="1"/>
    </row>
    <row r="47" spans="1:75" x14ac:dyDescent="0.25">
      <c r="A47" s="149">
        <v>46</v>
      </c>
      <c r="B47" s="150" t="s">
        <v>147</v>
      </c>
      <c r="C47" s="151">
        <v>0.45833333333333331</v>
      </c>
      <c r="D47" s="149" t="s">
        <v>142</v>
      </c>
      <c r="E47" s="149" t="s">
        <v>143</v>
      </c>
      <c r="F47" s="149" t="s">
        <v>144</v>
      </c>
      <c r="G47" s="149">
        <v>123456</v>
      </c>
      <c r="H47" s="149">
        <v>4</v>
      </c>
      <c r="I47" s="149">
        <v>29250</v>
      </c>
      <c r="J47" s="149" t="s">
        <v>137</v>
      </c>
      <c r="K47" s="149" t="s">
        <v>83</v>
      </c>
      <c r="L47" s="149" t="s">
        <v>81</v>
      </c>
      <c r="M47" s="149">
        <v>3</v>
      </c>
      <c r="N47" s="149">
        <v>2000</v>
      </c>
      <c r="O47" s="149">
        <v>2.1</v>
      </c>
      <c r="P47" s="149" t="s">
        <v>75</v>
      </c>
      <c r="Q47" s="149">
        <v>2.16E-5</v>
      </c>
      <c r="R47" s="149">
        <v>1965000</v>
      </c>
      <c r="S47" s="149"/>
      <c r="T47" s="152"/>
      <c r="U47" s="152"/>
      <c r="V47" s="149"/>
      <c r="W47" s="149"/>
      <c r="X47" s="149"/>
      <c r="Y47" s="149"/>
      <c r="Z47" s="149"/>
      <c r="AA47" s="149"/>
      <c r="AB47" s="149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  <c r="AW47" s="149"/>
      <c r="AX47" s="149"/>
      <c r="AY47" s="149"/>
      <c r="AZ47" s="149"/>
      <c r="BA47" s="149"/>
      <c r="BB47" s="149"/>
      <c r="BC47" s="149"/>
      <c r="BD47" s="149"/>
      <c r="BE47" s="149"/>
      <c r="BF47" s="149"/>
      <c r="BG47" s="149"/>
      <c r="BH47" s="149"/>
      <c r="BI47" s="149"/>
      <c r="BJ47" s="149"/>
      <c r="BK47" s="149"/>
      <c r="BL47" s="149"/>
      <c r="BM47" s="149"/>
      <c r="BN47" s="149"/>
      <c r="BO47" s="149"/>
      <c r="BP47" s="149">
        <v>12.589538553075498</v>
      </c>
      <c r="BQ47" s="149">
        <v>12.200707009805413</v>
      </c>
      <c r="BR47" s="149">
        <v>21.576073601988369</v>
      </c>
      <c r="BS47" s="149">
        <v>21.535071910671846</v>
      </c>
      <c r="BT47" s="149">
        <v>619.92866295244642</v>
      </c>
      <c r="BU47" s="153">
        <v>30000</v>
      </c>
      <c r="BV47" s="149">
        <v>6.1154567582964404E-3</v>
      </c>
      <c r="BW47" s="1"/>
    </row>
    <row r="48" spans="1:75" x14ac:dyDescent="0.25">
      <c r="A48" s="149">
        <f t="shared" si="3"/>
        <v>47</v>
      </c>
      <c r="B48" s="150" t="s">
        <v>147</v>
      </c>
      <c r="C48" s="151">
        <v>0.45833333333333331</v>
      </c>
      <c r="D48" s="149" t="s">
        <v>142</v>
      </c>
      <c r="E48" s="149" t="s">
        <v>143</v>
      </c>
      <c r="F48" s="149" t="s">
        <v>144</v>
      </c>
      <c r="G48" s="149">
        <v>123456</v>
      </c>
      <c r="H48" s="149">
        <v>4</v>
      </c>
      <c r="I48" s="149">
        <v>29250</v>
      </c>
      <c r="J48" s="149" t="s">
        <v>137</v>
      </c>
      <c r="K48" s="149" t="s">
        <v>83</v>
      </c>
      <c r="L48" s="149" t="s">
        <v>81</v>
      </c>
      <c r="M48" s="149">
        <v>3</v>
      </c>
      <c r="N48" s="149">
        <v>2000</v>
      </c>
      <c r="O48" s="149">
        <v>2.1</v>
      </c>
      <c r="P48" s="149" t="s">
        <v>75</v>
      </c>
      <c r="Q48" s="149">
        <v>2.16E-5</v>
      </c>
      <c r="R48" s="149">
        <v>1965000</v>
      </c>
      <c r="S48" s="149"/>
      <c r="T48" s="152"/>
      <c r="U48" s="152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  <c r="AW48" s="149"/>
      <c r="AX48" s="149"/>
      <c r="AY48" s="149"/>
      <c r="AZ48" s="149"/>
      <c r="BA48" s="149"/>
      <c r="BB48" s="149"/>
      <c r="BC48" s="149"/>
      <c r="BD48" s="149"/>
      <c r="BE48" s="149"/>
      <c r="BF48" s="149"/>
      <c r="BG48" s="149"/>
      <c r="BH48" s="149"/>
      <c r="BI48" s="149"/>
      <c r="BJ48" s="149"/>
      <c r="BK48" s="149"/>
      <c r="BL48" s="149"/>
      <c r="BM48" s="149"/>
      <c r="BN48" s="149"/>
      <c r="BO48" s="149"/>
      <c r="BP48" s="149">
        <v>12.638102300861311</v>
      </c>
      <c r="BQ48" s="149">
        <f t="shared" ca="1" si="1"/>
        <v>12.445005380835891</v>
      </c>
      <c r="BR48" s="149">
        <v>21.235257233045292</v>
      </c>
      <c r="BS48" s="149">
        <v>21.121512693937269</v>
      </c>
      <c r="BT48" s="149">
        <f t="shared" ca="1" si="0"/>
        <v>771.48247773406626</v>
      </c>
      <c r="BU48" s="153">
        <v>27019.453237761732</v>
      </c>
      <c r="BV48" s="149">
        <f t="shared" ca="1" si="2"/>
        <v>9.2959397022579996E-3</v>
      </c>
      <c r="BW48" s="1"/>
    </row>
    <row r="49" spans="1:75" x14ac:dyDescent="0.25">
      <c r="A49" s="149">
        <f t="shared" si="3"/>
        <v>48</v>
      </c>
      <c r="B49" s="150" t="s">
        <v>147</v>
      </c>
      <c r="C49" s="151">
        <v>0.45833333333333331</v>
      </c>
      <c r="D49" s="149" t="s">
        <v>142</v>
      </c>
      <c r="E49" s="149" t="s">
        <v>143</v>
      </c>
      <c r="F49" s="149" t="s">
        <v>144</v>
      </c>
      <c r="G49" s="149">
        <v>123821</v>
      </c>
      <c r="H49" s="149">
        <v>4</v>
      </c>
      <c r="I49" s="149">
        <v>28045</v>
      </c>
      <c r="J49" s="149" t="s">
        <v>145</v>
      </c>
      <c r="K49" s="149" t="s">
        <v>83</v>
      </c>
      <c r="L49" s="149" t="s">
        <v>81</v>
      </c>
      <c r="M49" s="149">
        <v>3</v>
      </c>
      <c r="N49" s="149">
        <v>2000</v>
      </c>
      <c r="O49" s="149">
        <v>2.1</v>
      </c>
      <c r="P49" s="149" t="s">
        <v>75</v>
      </c>
      <c r="Q49" s="149">
        <v>2.16E-5</v>
      </c>
      <c r="R49" s="149">
        <v>1965000</v>
      </c>
      <c r="S49" s="149"/>
      <c r="T49" s="152"/>
      <c r="U49" s="152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>
        <v>12.274220550722305</v>
      </c>
      <c r="BQ49" s="149">
        <f t="shared" ca="1" si="1"/>
        <v>11.937088403793313</v>
      </c>
      <c r="BR49" s="149">
        <v>22.391474025689423</v>
      </c>
      <c r="BS49" s="149">
        <v>21.944402290393992</v>
      </c>
      <c r="BT49" s="149">
        <f t="shared" ca="1" si="0"/>
        <v>658.49030341511912</v>
      </c>
      <c r="BU49" s="153">
        <v>27053.022242430186</v>
      </c>
      <c r="BV49" s="149">
        <f t="shared" ca="1" si="2"/>
        <v>2.9347463688115024E-2</v>
      </c>
      <c r="BW49" s="1"/>
    </row>
    <row r="50" spans="1:75" x14ac:dyDescent="0.25">
      <c r="A50" s="149">
        <f t="shared" si="3"/>
        <v>49</v>
      </c>
      <c r="B50" s="150" t="s">
        <v>147</v>
      </c>
      <c r="C50" s="151">
        <v>0.45833333333333331</v>
      </c>
      <c r="D50" s="149" t="s">
        <v>142</v>
      </c>
      <c r="E50" s="149" t="s">
        <v>143</v>
      </c>
      <c r="F50" s="149" t="s">
        <v>144</v>
      </c>
      <c r="G50" s="149">
        <v>123821</v>
      </c>
      <c r="H50" s="149">
        <v>4</v>
      </c>
      <c r="I50" s="149">
        <v>28045</v>
      </c>
      <c r="J50" s="149" t="s">
        <v>145</v>
      </c>
      <c r="K50" s="149" t="s">
        <v>83</v>
      </c>
      <c r="L50" s="149" t="s">
        <v>81</v>
      </c>
      <c r="M50" s="149">
        <v>3</v>
      </c>
      <c r="N50" s="149">
        <v>2000</v>
      </c>
      <c r="O50" s="149">
        <v>2.1</v>
      </c>
      <c r="P50" s="149" t="s">
        <v>75</v>
      </c>
      <c r="Q50" s="149">
        <v>2.16E-5</v>
      </c>
      <c r="R50" s="149">
        <v>1965000</v>
      </c>
      <c r="S50" s="149"/>
      <c r="T50" s="152"/>
      <c r="U50" s="152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149"/>
      <c r="AK50" s="149"/>
      <c r="AL50" s="149"/>
      <c r="AM50" s="149"/>
      <c r="AN50" s="149"/>
      <c r="AO50" s="149"/>
      <c r="AP50" s="149"/>
      <c r="AQ50" s="149"/>
      <c r="AR50" s="149"/>
      <c r="AS50" s="149"/>
      <c r="AT50" s="149"/>
      <c r="AU50" s="149"/>
      <c r="AV50" s="149"/>
      <c r="AW50" s="149"/>
      <c r="AX50" s="149"/>
      <c r="AY50" s="149"/>
      <c r="AZ50" s="149"/>
      <c r="BA50" s="149"/>
      <c r="BB50" s="149"/>
      <c r="BC50" s="149"/>
      <c r="BD50" s="149"/>
      <c r="BE50" s="149"/>
      <c r="BF50" s="149"/>
      <c r="BG50" s="149"/>
      <c r="BH50" s="149"/>
      <c r="BI50" s="149"/>
      <c r="BJ50" s="149"/>
      <c r="BK50" s="149"/>
      <c r="BL50" s="149"/>
      <c r="BM50" s="149"/>
      <c r="BN50" s="149"/>
      <c r="BO50" s="149"/>
      <c r="BP50" s="149">
        <v>14.591918735953787</v>
      </c>
      <c r="BQ50" s="149">
        <f t="shared" ca="1" si="1"/>
        <v>14.336820336820161</v>
      </c>
      <c r="BR50" s="149">
        <v>21.066684217654114</v>
      </c>
      <c r="BS50" s="149">
        <v>21.029387561904379</v>
      </c>
      <c r="BT50" s="149">
        <f t="shared" ca="1" si="0"/>
        <v>696.73701076463772</v>
      </c>
      <c r="BU50" s="153">
        <v>28107.722782895969</v>
      </c>
      <c r="BV50" s="149">
        <f t="shared" ca="1" si="2"/>
        <v>1.5211790526594977E-2</v>
      </c>
      <c r="BW50" s="1"/>
    </row>
    <row r="51" spans="1:75" x14ac:dyDescent="0.25">
      <c r="A51" s="149">
        <f t="shared" si="3"/>
        <v>50</v>
      </c>
      <c r="B51" s="150" t="s">
        <v>147</v>
      </c>
      <c r="C51" s="151">
        <v>0.45833333333333331</v>
      </c>
      <c r="D51" s="149" t="s">
        <v>142</v>
      </c>
      <c r="E51" s="149" t="s">
        <v>143</v>
      </c>
      <c r="F51" s="149" t="s">
        <v>144</v>
      </c>
      <c r="G51" s="149">
        <v>123456</v>
      </c>
      <c r="H51" s="149">
        <v>4</v>
      </c>
      <c r="I51" s="149">
        <v>29250</v>
      </c>
      <c r="J51" s="149" t="s">
        <v>137</v>
      </c>
      <c r="K51" s="149" t="s">
        <v>83</v>
      </c>
      <c r="L51" s="149" t="s">
        <v>81</v>
      </c>
      <c r="M51" s="149">
        <v>3</v>
      </c>
      <c r="N51" s="149">
        <v>2000</v>
      </c>
      <c r="O51" s="149">
        <v>2.1</v>
      </c>
      <c r="P51" s="149" t="s">
        <v>75</v>
      </c>
      <c r="Q51" s="149">
        <v>2.16E-5</v>
      </c>
      <c r="R51" s="149">
        <v>1965000</v>
      </c>
      <c r="S51" s="149"/>
      <c r="T51" s="152"/>
      <c r="U51" s="152"/>
      <c r="V51" s="149"/>
      <c r="W51" s="149"/>
      <c r="X51" s="149"/>
      <c r="Y51" s="149"/>
      <c r="Z51" s="149"/>
      <c r="AA51" s="149"/>
      <c r="AB51" s="149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  <c r="AW51" s="149"/>
      <c r="AX51" s="149"/>
      <c r="AY51" s="149"/>
      <c r="AZ51" s="149"/>
      <c r="BA51" s="149"/>
      <c r="BB51" s="149"/>
      <c r="BC51" s="149"/>
      <c r="BD51" s="149"/>
      <c r="BE51" s="149"/>
      <c r="BF51" s="149"/>
      <c r="BG51" s="149"/>
      <c r="BH51" s="149"/>
      <c r="BI51" s="149"/>
      <c r="BJ51" s="149"/>
      <c r="BK51" s="149"/>
      <c r="BL51" s="149"/>
      <c r="BM51" s="149"/>
      <c r="BN51" s="149"/>
      <c r="BO51" s="149"/>
      <c r="BP51" s="149">
        <v>13.423234164703274</v>
      </c>
      <c r="BQ51" s="149">
        <f t="shared" ca="1" si="1"/>
        <v>13.189119797670182</v>
      </c>
      <c r="BR51" s="149">
        <v>19.74068460935522</v>
      </c>
      <c r="BS51" s="149">
        <v>19.310111034387059</v>
      </c>
      <c r="BT51" s="149">
        <f t="shared" ca="1" si="0"/>
        <v>703.00959720785181</v>
      </c>
      <c r="BU51" s="153">
        <v>26799.858997599804</v>
      </c>
      <c r="BV51" s="149">
        <f t="shared" ca="1" si="2"/>
        <v>1.1106748687146936E-2</v>
      </c>
      <c r="BW51" s="1"/>
    </row>
    <row r="52" spans="1:75" x14ac:dyDescent="0.25">
      <c r="A52" s="149">
        <f t="shared" si="3"/>
        <v>51</v>
      </c>
      <c r="B52" s="150" t="s">
        <v>147</v>
      </c>
      <c r="C52" s="151">
        <v>0.45833333333333331</v>
      </c>
      <c r="D52" s="149" t="s">
        <v>142</v>
      </c>
      <c r="E52" s="149" t="s">
        <v>143</v>
      </c>
      <c r="F52" s="149" t="s">
        <v>144</v>
      </c>
      <c r="G52" s="149">
        <v>123456</v>
      </c>
      <c r="H52" s="149">
        <v>4</v>
      </c>
      <c r="I52" s="149">
        <v>29250</v>
      </c>
      <c r="J52" s="149" t="s">
        <v>137</v>
      </c>
      <c r="K52" s="149" t="s">
        <v>83</v>
      </c>
      <c r="L52" s="149" t="s">
        <v>81</v>
      </c>
      <c r="M52" s="149">
        <v>3</v>
      </c>
      <c r="N52" s="149">
        <v>2000</v>
      </c>
      <c r="O52" s="149">
        <v>2.1</v>
      </c>
      <c r="P52" s="149" t="s">
        <v>75</v>
      </c>
      <c r="Q52" s="149">
        <v>2.16E-5</v>
      </c>
      <c r="R52" s="149">
        <v>1965000</v>
      </c>
      <c r="S52" s="149"/>
      <c r="T52" s="152"/>
      <c r="U52" s="152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  <c r="BB52" s="149"/>
      <c r="BC52" s="149"/>
      <c r="BD52" s="149"/>
      <c r="BE52" s="149"/>
      <c r="BF52" s="149"/>
      <c r="BG52" s="149"/>
      <c r="BH52" s="149"/>
      <c r="BI52" s="149"/>
      <c r="BJ52" s="149"/>
      <c r="BK52" s="149"/>
      <c r="BL52" s="149"/>
      <c r="BM52" s="149"/>
      <c r="BN52" s="149"/>
      <c r="BO52" s="149"/>
      <c r="BP52" s="149">
        <v>13.864311667622772</v>
      </c>
      <c r="BQ52" s="149">
        <f t="shared" ca="1" si="1"/>
        <v>13.690570644115194</v>
      </c>
      <c r="BR52" s="149">
        <v>18.269018379037306</v>
      </c>
      <c r="BS52" s="149">
        <v>18.163976270123243</v>
      </c>
      <c r="BT52" s="149">
        <f t="shared" ca="1" si="0"/>
        <v>719.5599989653274</v>
      </c>
      <c r="BU52" s="153">
        <v>28886.790652814507</v>
      </c>
      <c r="BV52" s="149">
        <f t="shared" ca="1" si="2"/>
        <v>2.6932391287754754E-2</v>
      </c>
      <c r="BW52" s="1"/>
    </row>
    <row r="53" spans="1:75" x14ac:dyDescent="0.25">
      <c r="A53" s="149">
        <f t="shared" si="3"/>
        <v>52</v>
      </c>
      <c r="B53" s="150" t="s">
        <v>147</v>
      </c>
      <c r="C53" s="151">
        <v>0.45833333333333331</v>
      </c>
      <c r="D53" s="149" t="s">
        <v>142</v>
      </c>
      <c r="E53" s="149" t="s">
        <v>143</v>
      </c>
      <c r="F53" s="149" t="s">
        <v>144</v>
      </c>
      <c r="G53" s="149">
        <v>123821</v>
      </c>
      <c r="H53" s="149">
        <v>4</v>
      </c>
      <c r="I53" s="149">
        <v>28045</v>
      </c>
      <c r="J53" s="149" t="s">
        <v>145</v>
      </c>
      <c r="K53" s="149" t="s">
        <v>83</v>
      </c>
      <c r="L53" s="149" t="s">
        <v>81</v>
      </c>
      <c r="M53" s="149">
        <v>3</v>
      </c>
      <c r="N53" s="149">
        <v>2000</v>
      </c>
      <c r="O53" s="149">
        <v>2.1</v>
      </c>
      <c r="P53" s="149" t="s">
        <v>75</v>
      </c>
      <c r="Q53" s="149">
        <v>2.16E-5</v>
      </c>
      <c r="R53" s="149">
        <v>1965000</v>
      </c>
      <c r="S53" s="149"/>
      <c r="T53" s="152"/>
      <c r="U53" s="152"/>
      <c r="V53" s="149"/>
      <c r="W53" s="149"/>
      <c r="X53" s="149"/>
      <c r="Y53" s="149"/>
      <c r="Z53" s="149"/>
      <c r="AA53" s="149"/>
      <c r="AB53" s="149"/>
      <c r="AC53" s="149"/>
      <c r="AD53" s="149"/>
      <c r="AE53" s="149"/>
      <c r="AF53" s="149"/>
      <c r="AG53" s="149"/>
      <c r="AH53" s="149"/>
      <c r="AI53" s="149"/>
      <c r="AJ53" s="149"/>
      <c r="AK53" s="149"/>
      <c r="AL53" s="149"/>
      <c r="AM53" s="149"/>
      <c r="AN53" s="149"/>
      <c r="AO53" s="149"/>
      <c r="AP53" s="149"/>
      <c r="AQ53" s="149"/>
      <c r="AR53" s="149"/>
      <c r="AS53" s="149"/>
      <c r="AT53" s="149"/>
      <c r="AU53" s="149"/>
      <c r="AV53" s="149"/>
      <c r="AW53" s="149"/>
      <c r="AX53" s="149"/>
      <c r="AY53" s="149"/>
      <c r="AZ53" s="149"/>
      <c r="BA53" s="149"/>
      <c r="BB53" s="149"/>
      <c r="BC53" s="149"/>
      <c r="BD53" s="149"/>
      <c r="BE53" s="149"/>
      <c r="BF53" s="149"/>
      <c r="BG53" s="149"/>
      <c r="BH53" s="149"/>
      <c r="BI53" s="149"/>
      <c r="BJ53" s="149"/>
      <c r="BK53" s="149"/>
      <c r="BL53" s="149"/>
      <c r="BM53" s="149"/>
      <c r="BN53" s="149"/>
      <c r="BO53" s="149"/>
      <c r="BP53" s="149">
        <v>12.949620998178863</v>
      </c>
      <c r="BQ53" s="149">
        <f t="shared" ca="1" si="1"/>
        <v>12.502064806045006</v>
      </c>
      <c r="BR53" s="149">
        <v>19.618024310065199</v>
      </c>
      <c r="BS53" s="149">
        <v>19.130549436555334</v>
      </c>
      <c r="BT53" s="149">
        <f t="shared" ca="1" si="0"/>
        <v>686.89603693885317</v>
      </c>
      <c r="BU53" s="153">
        <v>29289.197905777957</v>
      </c>
      <c r="BV53" s="149">
        <f t="shared" ca="1" si="2"/>
        <v>2.7933551451146621E-2</v>
      </c>
      <c r="BW53" s="1"/>
    </row>
    <row r="54" spans="1:75" x14ac:dyDescent="0.25">
      <c r="A54" s="149">
        <f t="shared" si="3"/>
        <v>53</v>
      </c>
      <c r="B54" s="150" t="s">
        <v>147</v>
      </c>
      <c r="C54" s="151">
        <v>0.45833333333333331</v>
      </c>
      <c r="D54" s="149" t="s">
        <v>142</v>
      </c>
      <c r="E54" s="149" t="s">
        <v>143</v>
      </c>
      <c r="F54" s="149" t="s">
        <v>144</v>
      </c>
      <c r="G54" s="149">
        <v>123821</v>
      </c>
      <c r="H54" s="149">
        <v>4</v>
      </c>
      <c r="I54" s="149">
        <v>28045</v>
      </c>
      <c r="J54" s="149" t="s">
        <v>145</v>
      </c>
      <c r="K54" s="149" t="s">
        <v>83</v>
      </c>
      <c r="L54" s="149" t="s">
        <v>81</v>
      </c>
      <c r="M54" s="149">
        <v>3</v>
      </c>
      <c r="N54" s="149">
        <v>2000</v>
      </c>
      <c r="O54" s="149">
        <v>2.1</v>
      </c>
      <c r="P54" s="149" t="s">
        <v>75</v>
      </c>
      <c r="Q54" s="149">
        <v>2.16E-5</v>
      </c>
      <c r="R54" s="149">
        <v>1965000</v>
      </c>
      <c r="S54" s="149"/>
      <c r="T54" s="152"/>
      <c r="U54" s="152"/>
      <c r="V54" s="149"/>
      <c r="W54" s="149"/>
      <c r="X54" s="149"/>
      <c r="Y54" s="149"/>
      <c r="Z54" s="149"/>
      <c r="AA54" s="149"/>
      <c r="AB54" s="149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  <c r="BB54" s="149"/>
      <c r="BC54" s="149"/>
      <c r="BD54" s="149"/>
      <c r="BE54" s="149"/>
      <c r="BF54" s="149"/>
      <c r="BG54" s="149"/>
      <c r="BH54" s="149"/>
      <c r="BI54" s="149"/>
      <c r="BJ54" s="149"/>
      <c r="BK54" s="149"/>
      <c r="BL54" s="149"/>
      <c r="BM54" s="149"/>
      <c r="BN54" s="149"/>
      <c r="BO54" s="149"/>
      <c r="BP54" s="149">
        <v>13.302841211643845</v>
      </c>
      <c r="BQ54" s="149">
        <f t="shared" ca="1" si="1"/>
        <v>13.072365623233031</v>
      </c>
      <c r="BR54" s="149">
        <v>19.269088371604759</v>
      </c>
      <c r="BS54" s="149">
        <v>18.964905404764455</v>
      </c>
      <c r="BT54" s="149">
        <f t="shared" ca="1" si="0"/>
        <v>709.5040768388975</v>
      </c>
      <c r="BU54" s="153">
        <v>26980.598349467913</v>
      </c>
      <c r="BV54" s="149">
        <f t="shared" ca="1" si="2"/>
        <v>1.9345201720419727E-2</v>
      </c>
      <c r="BW54" s="1"/>
    </row>
    <row r="55" spans="1:75" x14ac:dyDescent="0.25">
      <c r="A55" s="149">
        <f t="shared" si="3"/>
        <v>54</v>
      </c>
      <c r="B55" s="150" t="s">
        <v>147</v>
      </c>
      <c r="C55" s="151">
        <v>0.45833333333333331</v>
      </c>
      <c r="D55" s="149" t="s">
        <v>142</v>
      </c>
      <c r="E55" s="149" t="s">
        <v>143</v>
      </c>
      <c r="F55" s="149" t="s">
        <v>144</v>
      </c>
      <c r="G55" s="149">
        <v>123456</v>
      </c>
      <c r="H55" s="149">
        <v>4</v>
      </c>
      <c r="I55" s="149">
        <v>29250</v>
      </c>
      <c r="J55" s="149" t="s">
        <v>137</v>
      </c>
      <c r="K55" s="149" t="s">
        <v>83</v>
      </c>
      <c r="L55" s="149" t="s">
        <v>81</v>
      </c>
      <c r="M55" s="149">
        <v>3</v>
      </c>
      <c r="N55" s="149">
        <v>2000</v>
      </c>
      <c r="O55" s="149">
        <v>2.1</v>
      </c>
      <c r="P55" s="149" t="s">
        <v>75</v>
      </c>
      <c r="Q55" s="149">
        <v>2.16E-5</v>
      </c>
      <c r="R55" s="149">
        <v>1965000</v>
      </c>
      <c r="S55" s="149"/>
      <c r="T55" s="152"/>
      <c r="U55" s="152"/>
      <c r="V55" s="149"/>
      <c r="W55" s="149"/>
      <c r="X55" s="149"/>
      <c r="Y55" s="149"/>
      <c r="Z55" s="149"/>
      <c r="AA55" s="149"/>
      <c r="AB55" s="149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  <c r="BB55" s="149"/>
      <c r="BC55" s="149"/>
      <c r="BD55" s="149"/>
      <c r="BE55" s="149"/>
      <c r="BF55" s="149"/>
      <c r="BG55" s="149"/>
      <c r="BH55" s="149"/>
      <c r="BI55" s="149"/>
      <c r="BJ55" s="149"/>
      <c r="BK55" s="149"/>
      <c r="BL55" s="149"/>
      <c r="BM55" s="149"/>
      <c r="BN55" s="149"/>
      <c r="BO55" s="149"/>
      <c r="BP55" s="149">
        <v>14.680167967692245</v>
      </c>
      <c r="BQ55" s="149">
        <f t="shared" ca="1" si="1"/>
        <v>14.526719500031266</v>
      </c>
      <c r="BR55" s="149">
        <v>23.33854092936787</v>
      </c>
      <c r="BS55" s="149">
        <v>23.012460383857448</v>
      </c>
      <c r="BT55" s="149">
        <f t="shared" ca="1" si="0"/>
        <v>615.98988919877411</v>
      </c>
      <c r="BU55" s="153">
        <v>29790.678369530087</v>
      </c>
      <c r="BV55" s="149">
        <f t="shared" ca="1" si="2"/>
        <v>1.5490561212604991E-2</v>
      </c>
      <c r="BW55" s="1"/>
    </row>
    <row r="56" spans="1:75" x14ac:dyDescent="0.25">
      <c r="A56" s="149">
        <f t="shared" si="3"/>
        <v>55</v>
      </c>
      <c r="B56" s="150" t="s">
        <v>147</v>
      </c>
      <c r="C56" s="151">
        <v>0.45833333333333331</v>
      </c>
      <c r="D56" s="149" t="s">
        <v>142</v>
      </c>
      <c r="E56" s="149" t="s">
        <v>143</v>
      </c>
      <c r="F56" s="149" t="s">
        <v>144</v>
      </c>
      <c r="G56" s="149">
        <v>123456</v>
      </c>
      <c r="H56" s="149">
        <v>4</v>
      </c>
      <c r="I56" s="149">
        <v>29250</v>
      </c>
      <c r="J56" s="149" t="s">
        <v>137</v>
      </c>
      <c r="K56" s="149" t="s">
        <v>83</v>
      </c>
      <c r="L56" s="149" t="s">
        <v>81</v>
      </c>
      <c r="M56" s="149">
        <v>3</v>
      </c>
      <c r="N56" s="149">
        <v>2000</v>
      </c>
      <c r="O56" s="149">
        <v>2.1</v>
      </c>
      <c r="P56" s="149" t="s">
        <v>75</v>
      </c>
      <c r="Q56" s="149">
        <v>2.16E-5</v>
      </c>
      <c r="R56" s="149">
        <v>1965000</v>
      </c>
      <c r="S56" s="149"/>
      <c r="T56" s="152"/>
      <c r="U56" s="152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  <c r="BE56" s="149"/>
      <c r="BF56" s="149"/>
      <c r="BG56" s="149"/>
      <c r="BH56" s="149"/>
      <c r="BI56" s="149"/>
      <c r="BJ56" s="149"/>
      <c r="BK56" s="149"/>
      <c r="BL56" s="149"/>
      <c r="BM56" s="149"/>
      <c r="BN56" s="149"/>
      <c r="BO56" s="149"/>
      <c r="BP56" s="149">
        <v>13.311921958770707</v>
      </c>
      <c r="BQ56" s="149">
        <f t="shared" ca="1" si="1"/>
        <v>13.215133320243783</v>
      </c>
      <c r="BR56" s="149">
        <v>24.652201610833799</v>
      </c>
      <c r="BS56" s="149">
        <v>24.480907785229189</v>
      </c>
      <c r="BT56" s="149">
        <f t="shared" ca="1" si="0"/>
        <v>613.03895666200913</v>
      </c>
      <c r="BU56" s="153">
        <v>29544.539797337966</v>
      </c>
      <c r="BV56" s="149">
        <f t="shared" ca="1" si="2"/>
        <v>1.3890513034151369E-2</v>
      </c>
      <c r="BW56" s="1"/>
    </row>
    <row r="57" spans="1:75" x14ac:dyDescent="0.25">
      <c r="A57" s="149">
        <f t="shared" si="3"/>
        <v>56</v>
      </c>
      <c r="B57" s="150" t="s">
        <v>147</v>
      </c>
      <c r="C57" s="151">
        <v>0.45833333333333331</v>
      </c>
      <c r="D57" s="149" t="s">
        <v>142</v>
      </c>
      <c r="E57" s="149" t="s">
        <v>143</v>
      </c>
      <c r="F57" s="149" t="s">
        <v>144</v>
      </c>
      <c r="G57" s="149">
        <v>123821</v>
      </c>
      <c r="H57" s="149">
        <v>4</v>
      </c>
      <c r="I57" s="149">
        <v>28045</v>
      </c>
      <c r="J57" s="149" t="s">
        <v>145</v>
      </c>
      <c r="K57" s="149" t="s">
        <v>83</v>
      </c>
      <c r="L57" s="149" t="s">
        <v>81</v>
      </c>
      <c r="M57" s="149">
        <v>3</v>
      </c>
      <c r="N57" s="149">
        <v>2000</v>
      </c>
      <c r="O57" s="149">
        <v>2.1</v>
      </c>
      <c r="P57" s="149" t="s">
        <v>75</v>
      </c>
      <c r="Q57" s="149">
        <v>2.16E-5</v>
      </c>
      <c r="R57" s="149">
        <v>1965000</v>
      </c>
      <c r="S57" s="149"/>
      <c r="T57" s="152"/>
      <c r="U57" s="152"/>
      <c r="V57" s="149"/>
      <c r="W57" s="149"/>
      <c r="X57" s="149"/>
      <c r="Y57" s="149"/>
      <c r="Z57" s="149"/>
      <c r="AA57" s="149"/>
      <c r="AB57" s="149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  <c r="BB57" s="149"/>
      <c r="BC57" s="149"/>
      <c r="BD57" s="149"/>
      <c r="BE57" s="149"/>
      <c r="BF57" s="149"/>
      <c r="BG57" s="149"/>
      <c r="BH57" s="149"/>
      <c r="BI57" s="149"/>
      <c r="BJ57" s="149"/>
      <c r="BK57" s="149"/>
      <c r="BL57" s="149"/>
      <c r="BM57" s="149"/>
      <c r="BN57" s="149"/>
      <c r="BO57" s="149"/>
      <c r="BP57" s="149">
        <v>12.25774920876742</v>
      </c>
      <c r="BQ57" s="149">
        <f t="shared" ca="1" si="1"/>
        <v>12.159980044470323</v>
      </c>
      <c r="BR57" s="149">
        <v>20.730010767971006</v>
      </c>
      <c r="BS57" s="149">
        <v>20.696345914384491</v>
      </c>
      <c r="BT57" s="149">
        <f t="shared" ca="1" si="0"/>
        <v>760.4749285366513</v>
      </c>
      <c r="BU57" s="153">
        <v>28450.789355438523</v>
      </c>
      <c r="BV57" s="149">
        <f t="shared" ca="1" si="2"/>
        <v>1.6282345756568055E-2</v>
      </c>
      <c r="BW57" s="1"/>
    </row>
    <row r="58" spans="1:75" x14ac:dyDescent="0.25">
      <c r="A58" s="149">
        <f t="shared" si="3"/>
        <v>57</v>
      </c>
      <c r="B58" s="150" t="s">
        <v>147</v>
      </c>
      <c r="C58" s="151">
        <v>0.45833333333333331</v>
      </c>
      <c r="D58" s="149" t="s">
        <v>142</v>
      </c>
      <c r="E58" s="149" t="s">
        <v>143</v>
      </c>
      <c r="F58" s="149" t="s">
        <v>144</v>
      </c>
      <c r="G58" s="149">
        <v>123821</v>
      </c>
      <c r="H58" s="149">
        <v>4</v>
      </c>
      <c r="I58" s="149">
        <v>28045</v>
      </c>
      <c r="J58" s="149" t="s">
        <v>145</v>
      </c>
      <c r="K58" s="149" t="s">
        <v>83</v>
      </c>
      <c r="L58" s="149" t="s">
        <v>81</v>
      </c>
      <c r="M58" s="149">
        <v>3</v>
      </c>
      <c r="N58" s="149">
        <v>2000</v>
      </c>
      <c r="O58" s="149">
        <v>2.1</v>
      </c>
      <c r="P58" s="149" t="s">
        <v>75</v>
      </c>
      <c r="Q58" s="149">
        <v>2.16E-5</v>
      </c>
      <c r="R58" s="149">
        <v>1965000</v>
      </c>
      <c r="S58" s="149"/>
      <c r="T58" s="152"/>
      <c r="U58" s="152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  <c r="BB58" s="149"/>
      <c r="BC58" s="149"/>
      <c r="BD58" s="149"/>
      <c r="BE58" s="149"/>
      <c r="BF58" s="149"/>
      <c r="BG58" s="149"/>
      <c r="BH58" s="149"/>
      <c r="BI58" s="149"/>
      <c r="BJ58" s="149"/>
      <c r="BK58" s="149"/>
      <c r="BL58" s="149"/>
      <c r="BM58" s="149"/>
      <c r="BN58" s="149"/>
      <c r="BO58" s="149"/>
      <c r="BP58" s="149">
        <v>13.53384693690661</v>
      </c>
      <c r="BQ58" s="149">
        <f t="shared" ca="1" si="1"/>
        <v>13.522288346813317</v>
      </c>
      <c r="BR58" s="149">
        <v>18.265832190609974</v>
      </c>
      <c r="BS58" s="149">
        <v>17.843295880005577</v>
      </c>
      <c r="BT58" s="149">
        <f t="shared" ca="1" si="0"/>
        <v>730.42810884533287</v>
      </c>
      <c r="BU58" s="153">
        <v>29690.763801307163</v>
      </c>
      <c r="BV58" s="149">
        <f t="shared" ca="1" si="2"/>
        <v>2.8564540928639401E-2</v>
      </c>
      <c r="BW58" s="1"/>
    </row>
    <row r="59" spans="1:75" x14ac:dyDescent="0.25">
      <c r="A59" s="149">
        <f t="shared" si="3"/>
        <v>58</v>
      </c>
      <c r="B59" s="150" t="s">
        <v>147</v>
      </c>
      <c r="C59" s="151">
        <v>0.45833333333333331</v>
      </c>
      <c r="D59" s="149" t="s">
        <v>142</v>
      </c>
      <c r="E59" s="149" t="s">
        <v>143</v>
      </c>
      <c r="F59" s="149" t="s">
        <v>144</v>
      </c>
      <c r="G59" s="149">
        <v>123456</v>
      </c>
      <c r="H59" s="149">
        <v>4</v>
      </c>
      <c r="I59" s="149">
        <v>29250</v>
      </c>
      <c r="J59" s="149" t="s">
        <v>137</v>
      </c>
      <c r="K59" s="149" t="s">
        <v>83</v>
      </c>
      <c r="L59" s="149" t="s">
        <v>81</v>
      </c>
      <c r="M59" s="149">
        <v>3</v>
      </c>
      <c r="N59" s="149">
        <v>2000</v>
      </c>
      <c r="O59" s="149">
        <v>2.1</v>
      </c>
      <c r="P59" s="149" t="s">
        <v>75</v>
      </c>
      <c r="Q59" s="149">
        <v>2.16E-5</v>
      </c>
      <c r="R59" s="149">
        <v>1965000</v>
      </c>
      <c r="S59" s="149"/>
      <c r="T59" s="152"/>
      <c r="U59" s="152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>
        <v>13.643142789481654</v>
      </c>
      <c r="BQ59" s="149">
        <f t="shared" ca="1" si="1"/>
        <v>13.20570207917234</v>
      </c>
      <c r="BR59" s="149">
        <v>21.714990057439135</v>
      </c>
      <c r="BS59" s="149">
        <v>21.525191822523905</v>
      </c>
      <c r="BT59" s="149">
        <f t="shared" ca="1" si="0"/>
        <v>677.07100725497355</v>
      </c>
      <c r="BU59" s="153">
        <v>29950.345623881982</v>
      </c>
      <c r="BV59" s="149">
        <f t="shared" ca="1" si="2"/>
        <v>2.440951047349111E-2</v>
      </c>
      <c r="BW59" s="1"/>
    </row>
    <row r="60" spans="1:75" x14ac:dyDescent="0.25">
      <c r="A60" s="149">
        <f t="shared" si="3"/>
        <v>59</v>
      </c>
      <c r="B60" s="150" t="s">
        <v>147</v>
      </c>
      <c r="C60" s="151">
        <v>0.45833333333333331</v>
      </c>
      <c r="D60" s="149" t="s">
        <v>142</v>
      </c>
      <c r="E60" s="149" t="s">
        <v>143</v>
      </c>
      <c r="F60" s="149" t="s">
        <v>144</v>
      </c>
      <c r="G60" s="149">
        <v>123456</v>
      </c>
      <c r="H60" s="149">
        <v>4</v>
      </c>
      <c r="I60" s="149">
        <v>29250</v>
      </c>
      <c r="J60" s="149" t="s">
        <v>137</v>
      </c>
      <c r="K60" s="149" t="s">
        <v>83</v>
      </c>
      <c r="L60" s="149" t="s">
        <v>81</v>
      </c>
      <c r="M60" s="149">
        <v>3</v>
      </c>
      <c r="N60" s="149">
        <v>2000</v>
      </c>
      <c r="O60" s="149">
        <v>2.1</v>
      </c>
      <c r="P60" s="149" t="s">
        <v>75</v>
      </c>
      <c r="Q60" s="149">
        <v>2.16E-5</v>
      </c>
      <c r="R60" s="149">
        <v>1965000</v>
      </c>
      <c r="S60" s="149"/>
      <c r="T60" s="152"/>
      <c r="U60" s="152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  <c r="BB60" s="149"/>
      <c r="BC60" s="149"/>
      <c r="BD60" s="149"/>
      <c r="BE60" s="149"/>
      <c r="BF60" s="149"/>
      <c r="BG60" s="149"/>
      <c r="BH60" s="149"/>
      <c r="BI60" s="149"/>
      <c r="BJ60" s="149"/>
      <c r="BK60" s="149"/>
      <c r="BL60" s="149"/>
      <c r="BM60" s="149"/>
      <c r="BN60" s="149"/>
      <c r="BO60" s="149"/>
      <c r="BP60" s="149">
        <v>14.5127071025371</v>
      </c>
      <c r="BQ60" s="149">
        <f t="shared" ca="1" si="1"/>
        <v>14.271041584395196</v>
      </c>
      <c r="BR60" s="149">
        <v>20.272910548998119</v>
      </c>
      <c r="BS60" s="149">
        <v>20.031165788116475</v>
      </c>
      <c r="BT60" s="149">
        <f t="shared" ca="1" si="0"/>
        <v>662.69060649466087</v>
      </c>
      <c r="BU60" s="153">
        <v>28206.920304202122</v>
      </c>
      <c r="BV60" s="149">
        <f t="shared" ca="1" si="2"/>
        <v>2.3483638652822027E-2</v>
      </c>
      <c r="BW60" s="1"/>
    </row>
    <row r="61" spans="1:75" x14ac:dyDescent="0.25">
      <c r="A61" s="149">
        <f t="shared" si="3"/>
        <v>60</v>
      </c>
      <c r="B61" s="150" t="s">
        <v>147</v>
      </c>
      <c r="C61" s="151">
        <v>0.45833333333333331</v>
      </c>
      <c r="D61" s="149" t="s">
        <v>142</v>
      </c>
      <c r="E61" s="149" t="s">
        <v>143</v>
      </c>
      <c r="F61" s="149" t="s">
        <v>144</v>
      </c>
      <c r="G61" s="149">
        <v>123821</v>
      </c>
      <c r="H61" s="149">
        <v>4</v>
      </c>
      <c r="I61" s="149">
        <v>28045</v>
      </c>
      <c r="J61" s="149" t="s">
        <v>145</v>
      </c>
      <c r="K61" s="149" t="s">
        <v>83</v>
      </c>
      <c r="L61" s="149" t="s">
        <v>81</v>
      </c>
      <c r="M61" s="149">
        <v>3</v>
      </c>
      <c r="N61" s="149">
        <v>2000</v>
      </c>
      <c r="O61" s="149">
        <v>2.1</v>
      </c>
      <c r="P61" s="149" t="s">
        <v>75</v>
      </c>
      <c r="Q61" s="149">
        <v>2.16E-5</v>
      </c>
      <c r="R61" s="149">
        <v>1965000</v>
      </c>
      <c r="S61" s="149"/>
      <c r="T61" s="152"/>
      <c r="U61" s="152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  <c r="BB61" s="149"/>
      <c r="BC61" s="149"/>
      <c r="BD61" s="149"/>
      <c r="BE61" s="149"/>
      <c r="BF61" s="149"/>
      <c r="BG61" s="149"/>
      <c r="BH61" s="149"/>
      <c r="BI61" s="149"/>
      <c r="BJ61" s="149"/>
      <c r="BK61" s="149"/>
      <c r="BL61" s="149"/>
      <c r="BM61" s="149"/>
      <c r="BN61" s="149"/>
      <c r="BO61" s="149"/>
      <c r="BP61" s="149">
        <v>13.067427694187549</v>
      </c>
      <c r="BQ61" s="149">
        <f t="shared" ca="1" si="1"/>
        <v>13.029535132559529</v>
      </c>
      <c r="BR61" s="149">
        <v>24.154261360729642</v>
      </c>
      <c r="BS61" s="149">
        <v>23.788228140392224</v>
      </c>
      <c r="BT61" s="149">
        <f t="shared" ca="1" si="0"/>
        <v>660.3257468434598</v>
      </c>
      <c r="BU61" s="153">
        <v>28097.25781202388</v>
      </c>
      <c r="BV61" s="149">
        <f t="shared" ca="1" si="2"/>
        <v>1.9754382279919103E-2</v>
      </c>
      <c r="BW61" s="1"/>
    </row>
    <row r="62" spans="1:75" x14ac:dyDescent="0.25">
      <c r="A62" s="149">
        <f t="shared" si="3"/>
        <v>61</v>
      </c>
      <c r="B62" s="150" t="s">
        <v>147</v>
      </c>
      <c r="C62" s="151">
        <v>0.45833333333333331</v>
      </c>
      <c r="D62" s="149" t="s">
        <v>142</v>
      </c>
      <c r="E62" s="149" t="s">
        <v>143</v>
      </c>
      <c r="F62" s="149" t="s">
        <v>144</v>
      </c>
      <c r="G62" s="149">
        <v>123821</v>
      </c>
      <c r="H62" s="149">
        <v>4</v>
      </c>
      <c r="I62" s="149">
        <v>28045</v>
      </c>
      <c r="J62" s="149" t="s">
        <v>145</v>
      </c>
      <c r="K62" s="149" t="s">
        <v>83</v>
      </c>
      <c r="L62" s="149" t="s">
        <v>81</v>
      </c>
      <c r="M62" s="149">
        <v>3</v>
      </c>
      <c r="N62" s="149">
        <v>2000</v>
      </c>
      <c r="O62" s="149">
        <v>2.1</v>
      </c>
      <c r="P62" s="149" t="s">
        <v>75</v>
      </c>
      <c r="Q62" s="149">
        <v>2.16E-5</v>
      </c>
      <c r="R62" s="149">
        <v>1965000</v>
      </c>
      <c r="S62" s="149"/>
      <c r="T62" s="152"/>
      <c r="U62" s="152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  <c r="BB62" s="149"/>
      <c r="BC62" s="149"/>
      <c r="BD62" s="149"/>
      <c r="BE62" s="149"/>
      <c r="BF62" s="149"/>
      <c r="BG62" s="149"/>
      <c r="BH62" s="149"/>
      <c r="BI62" s="149"/>
      <c r="BJ62" s="149"/>
      <c r="BK62" s="149"/>
      <c r="BL62" s="149"/>
      <c r="BM62" s="149"/>
      <c r="BN62" s="149"/>
      <c r="BO62" s="149"/>
      <c r="BP62" s="149">
        <v>13.489881814904832</v>
      </c>
      <c r="BQ62" s="149">
        <f t="shared" ca="1" si="1"/>
        <v>13.319934709153744</v>
      </c>
      <c r="BR62" s="149">
        <v>24.022324458472166</v>
      </c>
      <c r="BS62" s="149">
        <v>23.997520030218624</v>
      </c>
      <c r="BT62" s="149">
        <f t="shared" ca="1" si="0"/>
        <v>648.27486766860591</v>
      </c>
      <c r="BU62" s="153">
        <v>28980.14783703948</v>
      </c>
      <c r="BV62" s="149">
        <f t="shared" ca="1" si="2"/>
        <v>2.3589731772085506E-2</v>
      </c>
      <c r="BW62" s="1"/>
    </row>
    <row r="63" spans="1:75" x14ac:dyDescent="0.25">
      <c r="A63" s="149">
        <f t="shared" si="3"/>
        <v>62</v>
      </c>
      <c r="B63" s="150" t="s">
        <v>147</v>
      </c>
      <c r="C63" s="151">
        <v>0.45833333333333331</v>
      </c>
      <c r="D63" s="149" t="s">
        <v>142</v>
      </c>
      <c r="E63" s="149" t="s">
        <v>143</v>
      </c>
      <c r="F63" s="149" t="s">
        <v>144</v>
      </c>
      <c r="G63" s="149">
        <v>123456</v>
      </c>
      <c r="H63" s="149">
        <v>4</v>
      </c>
      <c r="I63" s="149">
        <v>29250</v>
      </c>
      <c r="J63" s="149" t="s">
        <v>137</v>
      </c>
      <c r="K63" s="149" t="s">
        <v>83</v>
      </c>
      <c r="L63" s="149" t="s">
        <v>81</v>
      </c>
      <c r="M63" s="149">
        <v>3</v>
      </c>
      <c r="N63" s="149">
        <v>2000</v>
      </c>
      <c r="O63" s="149">
        <v>2.1</v>
      </c>
      <c r="P63" s="149" t="s">
        <v>75</v>
      </c>
      <c r="Q63" s="149">
        <v>2.16E-5</v>
      </c>
      <c r="R63" s="149">
        <v>1965000</v>
      </c>
      <c r="S63" s="149"/>
      <c r="T63" s="152"/>
      <c r="U63" s="152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  <c r="BB63" s="149"/>
      <c r="BC63" s="149"/>
      <c r="BD63" s="149"/>
      <c r="BE63" s="149"/>
      <c r="BF63" s="149"/>
      <c r="BG63" s="149"/>
      <c r="BH63" s="149"/>
      <c r="BI63" s="149"/>
      <c r="BJ63" s="149"/>
      <c r="BK63" s="149"/>
      <c r="BL63" s="149"/>
      <c r="BM63" s="149"/>
      <c r="BN63" s="149"/>
      <c r="BO63" s="149"/>
      <c r="BP63" s="149">
        <v>13.917371295332222</v>
      </c>
      <c r="BQ63" s="149">
        <f t="shared" ca="1" si="1"/>
        <v>13.745611073539866</v>
      </c>
      <c r="BR63" s="149">
        <v>24.6956389061876</v>
      </c>
      <c r="BS63" s="149">
        <v>24.652666514646999</v>
      </c>
      <c r="BT63" s="149">
        <f t="shared" ref="BT63:BT126" ca="1" si="6">RAND()*(800-600)+600</f>
        <v>734.66650644973697</v>
      </c>
      <c r="BU63" s="153">
        <v>28456.729955790546</v>
      </c>
      <c r="BV63" s="149">
        <f t="shared" ca="1" si="2"/>
        <v>1.418676466101922E-2</v>
      </c>
      <c r="BW63" s="1"/>
    </row>
    <row r="64" spans="1:75" x14ac:dyDescent="0.25">
      <c r="A64" s="149">
        <f t="shared" si="3"/>
        <v>63</v>
      </c>
      <c r="B64" s="150" t="s">
        <v>147</v>
      </c>
      <c r="C64" s="151">
        <v>0.45833333333333331</v>
      </c>
      <c r="D64" s="149" t="s">
        <v>142</v>
      </c>
      <c r="E64" s="149" t="s">
        <v>143</v>
      </c>
      <c r="F64" s="149" t="s">
        <v>144</v>
      </c>
      <c r="G64" s="149">
        <v>123456</v>
      </c>
      <c r="H64" s="149">
        <v>4</v>
      </c>
      <c r="I64" s="149">
        <v>29250</v>
      </c>
      <c r="J64" s="149" t="s">
        <v>137</v>
      </c>
      <c r="K64" s="149" t="s">
        <v>83</v>
      </c>
      <c r="L64" s="149" t="s">
        <v>81</v>
      </c>
      <c r="M64" s="149">
        <v>3</v>
      </c>
      <c r="N64" s="149">
        <v>2000</v>
      </c>
      <c r="O64" s="149">
        <v>2.1</v>
      </c>
      <c r="P64" s="149" t="s">
        <v>75</v>
      </c>
      <c r="Q64" s="149">
        <v>2.16E-5</v>
      </c>
      <c r="R64" s="149">
        <v>1965000</v>
      </c>
      <c r="S64" s="149"/>
      <c r="T64" s="152"/>
      <c r="U64" s="152"/>
      <c r="V64" s="149"/>
      <c r="W64" s="149"/>
      <c r="X64" s="149"/>
      <c r="Y64" s="149"/>
      <c r="Z64" s="149"/>
      <c r="AA64" s="149"/>
      <c r="AB64" s="149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  <c r="BB64" s="149"/>
      <c r="BC64" s="149"/>
      <c r="BD64" s="149"/>
      <c r="BE64" s="149"/>
      <c r="BF64" s="149"/>
      <c r="BG64" s="149"/>
      <c r="BH64" s="149"/>
      <c r="BI64" s="149"/>
      <c r="BJ64" s="149"/>
      <c r="BK64" s="149"/>
      <c r="BL64" s="149"/>
      <c r="BM64" s="149"/>
      <c r="BN64" s="149"/>
      <c r="BO64" s="149"/>
      <c r="BP64" s="149">
        <v>12.73963994223841</v>
      </c>
      <c r="BQ64" s="149">
        <f t="shared" ref="BQ64:BQ127" ca="1" si="7">BP64-RAND()*(0.5-0)</f>
        <v>12.396173062227037</v>
      </c>
      <c r="BR64" s="149">
        <v>24.694789081896737</v>
      </c>
      <c r="BS64" s="149">
        <v>24.583518715707054</v>
      </c>
      <c r="BT64" s="149">
        <f t="shared" ca="1" si="6"/>
        <v>683.17292377873673</v>
      </c>
      <c r="BU64" s="153">
        <v>27773.706114524339</v>
      </c>
      <c r="BV64" s="149">
        <f t="shared" ref="BV64:BV127" ca="1" si="8">RAND()*(0.03-0.004)+0.004</f>
        <v>2.0737417607571574E-2</v>
      </c>
      <c r="BW64" s="1"/>
    </row>
    <row r="65" spans="1:75" x14ac:dyDescent="0.25">
      <c r="A65" s="149">
        <f t="shared" si="3"/>
        <v>64</v>
      </c>
      <c r="B65" s="150" t="s">
        <v>147</v>
      </c>
      <c r="C65" s="151">
        <v>0.45833333333333331</v>
      </c>
      <c r="D65" s="149" t="s">
        <v>142</v>
      </c>
      <c r="E65" s="149" t="s">
        <v>143</v>
      </c>
      <c r="F65" s="149" t="s">
        <v>144</v>
      </c>
      <c r="G65" s="149">
        <v>123821</v>
      </c>
      <c r="H65" s="149">
        <v>4</v>
      </c>
      <c r="I65" s="149">
        <v>28045</v>
      </c>
      <c r="J65" s="149" t="s">
        <v>145</v>
      </c>
      <c r="K65" s="149" t="s">
        <v>83</v>
      </c>
      <c r="L65" s="149" t="s">
        <v>81</v>
      </c>
      <c r="M65" s="149">
        <v>3</v>
      </c>
      <c r="N65" s="149">
        <v>2000</v>
      </c>
      <c r="O65" s="149">
        <v>2.1</v>
      </c>
      <c r="P65" s="149" t="s">
        <v>75</v>
      </c>
      <c r="Q65" s="149">
        <v>2.16E-5</v>
      </c>
      <c r="R65" s="149">
        <v>1965000</v>
      </c>
      <c r="S65" s="149"/>
      <c r="T65" s="152"/>
      <c r="U65" s="152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49"/>
      <c r="BL65" s="149"/>
      <c r="BM65" s="149"/>
      <c r="BN65" s="149"/>
      <c r="BO65" s="149"/>
      <c r="BP65" s="149">
        <v>13.909568991858126</v>
      </c>
      <c r="BQ65" s="149">
        <f t="shared" ca="1" si="7"/>
        <v>13.863420390338822</v>
      </c>
      <c r="BR65" s="149">
        <v>24.35038513020676</v>
      </c>
      <c r="BS65" s="149">
        <v>23.964227944834512</v>
      </c>
      <c r="BT65" s="149">
        <f t="shared" ca="1" si="6"/>
        <v>705.45674624443404</v>
      </c>
      <c r="BU65" s="153">
        <v>26775.810251571442</v>
      </c>
      <c r="BV65" s="149">
        <f t="shared" ca="1" si="8"/>
        <v>2.8858859874861337E-2</v>
      </c>
      <c r="BW65" s="1"/>
    </row>
    <row r="66" spans="1:75" x14ac:dyDescent="0.25">
      <c r="A66" s="149">
        <f t="shared" si="3"/>
        <v>65</v>
      </c>
      <c r="B66" s="150" t="s">
        <v>147</v>
      </c>
      <c r="C66" s="151">
        <v>0.45833333333333331</v>
      </c>
      <c r="D66" s="149" t="s">
        <v>142</v>
      </c>
      <c r="E66" s="149" t="s">
        <v>143</v>
      </c>
      <c r="F66" s="149" t="s">
        <v>144</v>
      </c>
      <c r="G66" s="149">
        <v>123821</v>
      </c>
      <c r="H66" s="149">
        <v>4</v>
      </c>
      <c r="I66" s="149">
        <v>28045</v>
      </c>
      <c r="J66" s="149" t="s">
        <v>145</v>
      </c>
      <c r="K66" s="149" t="s">
        <v>83</v>
      </c>
      <c r="L66" s="149" t="s">
        <v>81</v>
      </c>
      <c r="M66" s="149">
        <v>3</v>
      </c>
      <c r="N66" s="149">
        <v>2000</v>
      </c>
      <c r="O66" s="149">
        <v>2.1</v>
      </c>
      <c r="P66" s="149" t="s">
        <v>75</v>
      </c>
      <c r="Q66" s="149">
        <v>2.16E-5</v>
      </c>
      <c r="R66" s="149">
        <v>1965000</v>
      </c>
      <c r="S66" s="149"/>
      <c r="T66" s="152"/>
      <c r="U66" s="152"/>
      <c r="V66" s="149"/>
      <c r="W66" s="149"/>
      <c r="X66" s="149"/>
      <c r="Y66" s="149"/>
      <c r="Z66" s="149"/>
      <c r="AA66" s="149"/>
      <c r="AB66" s="149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  <c r="BB66" s="149"/>
      <c r="BC66" s="149"/>
      <c r="BD66" s="149"/>
      <c r="BE66" s="149"/>
      <c r="BF66" s="149"/>
      <c r="BG66" s="149"/>
      <c r="BH66" s="149"/>
      <c r="BI66" s="149"/>
      <c r="BJ66" s="149"/>
      <c r="BK66" s="149"/>
      <c r="BL66" s="149"/>
      <c r="BM66" s="149"/>
      <c r="BN66" s="149"/>
      <c r="BO66" s="149"/>
      <c r="BP66" s="149">
        <v>12.46183856213505</v>
      </c>
      <c r="BQ66" s="149">
        <f t="shared" ca="1" si="7"/>
        <v>12.322770246261063</v>
      </c>
      <c r="BR66" s="149">
        <v>21.098515299692945</v>
      </c>
      <c r="BS66" s="149">
        <v>20.831813107813769</v>
      </c>
      <c r="BT66" s="149">
        <f t="shared" ca="1" si="6"/>
        <v>698.85009754458861</v>
      </c>
      <c r="BU66" s="153">
        <v>27688.260470550034</v>
      </c>
      <c r="BV66" s="149">
        <f t="shared" ca="1" si="8"/>
        <v>1.9266422263319382E-2</v>
      </c>
      <c r="BW66" s="1"/>
    </row>
    <row r="67" spans="1:75" x14ac:dyDescent="0.25">
      <c r="A67" s="149">
        <f t="shared" si="3"/>
        <v>66</v>
      </c>
      <c r="B67" s="150" t="s">
        <v>147</v>
      </c>
      <c r="C67" s="151">
        <v>0.45833333333333331</v>
      </c>
      <c r="D67" s="149" t="s">
        <v>142</v>
      </c>
      <c r="E67" s="149" t="s">
        <v>143</v>
      </c>
      <c r="F67" s="149" t="s">
        <v>144</v>
      </c>
      <c r="G67" s="149">
        <v>123456</v>
      </c>
      <c r="H67" s="149">
        <v>4</v>
      </c>
      <c r="I67" s="149">
        <v>29250</v>
      </c>
      <c r="J67" s="149" t="s">
        <v>137</v>
      </c>
      <c r="K67" s="149" t="s">
        <v>83</v>
      </c>
      <c r="L67" s="149" t="s">
        <v>81</v>
      </c>
      <c r="M67" s="149">
        <v>3</v>
      </c>
      <c r="N67" s="149">
        <v>2000</v>
      </c>
      <c r="O67" s="149">
        <v>2.1</v>
      </c>
      <c r="P67" s="149" t="s">
        <v>75</v>
      </c>
      <c r="Q67" s="149">
        <v>2.16E-5</v>
      </c>
      <c r="R67" s="149">
        <v>1965000</v>
      </c>
      <c r="S67" s="149"/>
      <c r="T67" s="152"/>
      <c r="U67" s="149"/>
      <c r="V67" s="152"/>
      <c r="W67" s="149"/>
      <c r="X67" s="149"/>
      <c r="Y67" s="149"/>
      <c r="Z67" s="149"/>
      <c r="AA67" s="149"/>
      <c r="AB67" s="149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  <c r="BB67" s="149"/>
      <c r="BC67" s="149"/>
      <c r="BD67" s="149"/>
      <c r="BE67" s="149"/>
      <c r="BF67" s="149"/>
      <c r="BG67" s="149"/>
      <c r="BH67" s="149"/>
      <c r="BI67" s="149"/>
      <c r="BJ67" s="149"/>
      <c r="BK67" s="149"/>
      <c r="BL67" s="149"/>
      <c r="BM67" s="149"/>
      <c r="BN67" s="149"/>
      <c r="BO67" s="149"/>
      <c r="BP67" s="149">
        <v>14.994318298575079</v>
      </c>
      <c r="BQ67" s="149">
        <f t="shared" ca="1" si="7"/>
        <v>14.520439242113927</v>
      </c>
      <c r="BR67" s="149">
        <v>23.074858855387454</v>
      </c>
      <c r="BS67" s="149">
        <v>22.683473270199581</v>
      </c>
      <c r="BT67" s="149">
        <f t="shared" ca="1" si="6"/>
        <v>706.07873613441245</v>
      </c>
      <c r="BU67" s="153">
        <v>27644.883637819206</v>
      </c>
      <c r="BV67" s="149">
        <f t="shared" ca="1" si="8"/>
        <v>1.785116193343065E-2</v>
      </c>
      <c r="BW67" s="1"/>
    </row>
    <row r="68" spans="1:75" x14ac:dyDescent="0.25">
      <c r="A68" s="149">
        <f t="shared" ref="A68:A131" si="9">A67+1</f>
        <v>67</v>
      </c>
      <c r="B68" s="150" t="s">
        <v>147</v>
      </c>
      <c r="C68" s="151">
        <v>0.45833333333333331</v>
      </c>
      <c r="D68" s="149" t="s">
        <v>142</v>
      </c>
      <c r="E68" s="149" t="s">
        <v>143</v>
      </c>
      <c r="F68" s="149" t="s">
        <v>144</v>
      </c>
      <c r="G68" s="149">
        <v>123456</v>
      </c>
      <c r="H68" s="149">
        <v>4</v>
      </c>
      <c r="I68" s="149">
        <v>29250</v>
      </c>
      <c r="J68" s="149" t="s">
        <v>137</v>
      </c>
      <c r="K68" s="149" t="s">
        <v>83</v>
      </c>
      <c r="L68" s="149" t="s">
        <v>81</v>
      </c>
      <c r="M68" s="149">
        <v>3</v>
      </c>
      <c r="N68" s="149">
        <v>2000</v>
      </c>
      <c r="O68" s="149">
        <v>2.1</v>
      </c>
      <c r="P68" s="149" t="s">
        <v>75</v>
      </c>
      <c r="Q68" s="149">
        <v>2.16E-5</v>
      </c>
      <c r="R68" s="149">
        <v>1965000</v>
      </c>
      <c r="S68" s="149"/>
      <c r="T68" s="152"/>
      <c r="U68" s="149"/>
      <c r="V68" s="152"/>
      <c r="W68" s="149"/>
      <c r="X68" s="149"/>
      <c r="Y68" s="149"/>
      <c r="Z68" s="149"/>
      <c r="AA68" s="149"/>
      <c r="AB68" s="149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  <c r="BB68" s="149"/>
      <c r="BC68" s="149"/>
      <c r="BD68" s="149"/>
      <c r="BE68" s="149"/>
      <c r="BF68" s="149"/>
      <c r="BG68" s="149"/>
      <c r="BH68" s="149"/>
      <c r="BI68" s="149"/>
      <c r="BJ68" s="149"/>
      <c r="BK68" s="149"/>
      <c r="BL68" s="149"/>
      <c r="BM68" s="149"/>
      <c r="BN68" s="149"/>
      <c r="BO68" s="149"/>
      <c r="BP68" s="149">
        <v>14.30585555903394</v>
      </c>
      <c r="BQ68" s="149">
        <f t="shared" ca="1" si="7"/>
        <v>13.82997811246412</v>
      </c>
      <c r="BR68" s="149">
        <v>21.69947435858316</v>
      </c>
      <c r="BS68" s="149">
        <v>21.668446341176747</v>
      </c>
      <c r="BT68" s="149">
        <f t="shared" ca="1" si="6"/>
        <v>621.36784158449643</v>
      </c>
      <c r="BU68" s="153">
        <v>29372.026106211193</v>
      </c>
      <c r="BV68" s="149">
        <f t="shared" ca="1" si="8"/>
        <v>8.1805239425594284E-3</v>
      </c>
      <c r="BW68" s="1"/>
    </row>
    <row r="69" spans="1:75" x14ac:dyDescent="0.25">
      <c r="A69" s="149">
        <f t="shared" si="9"/>
        <v>68</v>
      </c>
      <c r="B69" s="150" t="s">
        <v>147</v>
      </c>
      <c r="C69" s="151">
        <v>0.45833333333333331</v>
      </c>
      <c r="D69" s="149" t="s">
        <v>142</v>
      </c>
      <c r="E69" s="149" t="s">
        <v>143</v>
      </c>
      <c r="F69" s="149" t="s">
        <v>144</v>
      </c>
      <c r="G69" s="149">
        <v>123821</v>
      </c>
      <c r="H69" s="149">
        <v>4</v>
      </c>
      <c r="I69" s="149">
        <v>28045</v>
      </c>
      <c r="J69" s="149" t="s">
        <v>145</v>
      </c>
      <c r="K69" s="149" t="s">
        <v>83</v>
      </c>
      <c r="L69" s="149" t="s">
        <v>81</v>
      </c>
      <c r="M69" s="149">
        <v>3</v>
      </c>
      <c r="N69" s="149">
        <v>2000</v>
      </c>
      <c r="O69" s="149">
        <v>2.1</v>
      </c>
      <c r="P69" s="149" t="s">
        <v>75</v>
      </c>
      <c r="Q69" s="149">
        <v>2.16E-5</v>
      </c>
      <c r="R69" s="149">
        <v>1965000</v>
      </c>
      <c r="S69" s="149"/>
      <c r="T69" s="152"/>
      <c r="U69" s="149"/>
      <c r="V69" s="152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  <c r="BB69" s="149"/>
      <c r="BC69" s="149"/>
      <c r="BD69" s="149"/>
      <c r="BE69" s="149"/>
      <c r="BF69" s="149"/>
      <c r="BG69" s="149"/>
      <c r="BH69" s="149"/>
      <c r="BI69" s="149"/>
      <c r="BJ69" s="149"/>
      <c r="BK69" s="149"/>
      <c r="BL69" s="149"/>
      <c r="BM69" s="149"/>
      <c r="BN69" s="149"/>
      <c r="BO69" s="149"/>
      <c r="BP69" s="149">
        <v>13.033228960371094</v>
      </c>
      <c r="BQ69" s="149">
        <f t="shared" ca="1" si="7"/>
        <v>12.583481301353313</v>
      </c>
      <c r="BR69" s="149">
        <v>22.283389487073784</v>
      </c>
      <c r="BS69" s="149">
        <v>21.787546095577952</v>
      </c>
      <c r="BT69" s="149">
        <f t="shared" ca="1" si="6"/>
        <v>616.13727188400662</v>
      </c>
      <c r="BU69" s="153">
        <v>29275.612809536597</v>
      </c>
      <c r="BV69" s="149">
        <f t="shared" ca="1" si="8"/>
        <v>2.3842976259889546E-2</v>
      </c>
      <c r="BW69" s="1"/>
    </row>
    <row r="70" spans="1:75" x14ac:dyDescent="0.25">
      <c r="A70" s="149">
        <f t="shared" si="9"/>
        <v>69</v>
      </c>
      <c r="B70" s="150" t="s">
        <v>147</v>
      </c>
      <c r="C70" s="151">
        <v>0.45833333333333331</v>
      </c>
      <c r="D70" s="149" t="s">
        <v>142</v>
      </c>
      <c r="E70" s="149" t="s">
        <v>143</v>
      </c>
      <c r="F70" s="149" t="s">
        <v>144</v>
      </c>
      <c r="G70" s="149">
        <v>123821</v>
      </c>
      <c r="H70" s="149">
        <v>4</v>
      </c>
      <c r="I70" s="149">
        <v>28045</v>
      </c>
      <c r="J70" s="149" t="s">
        <v>145</v>
      </c>
      <c r="K70" s="149" t="s">
        <v>83</v>
      </c>
      <c r="L70" s="149" t="s">
        <v>81</v>
      </c>
      <c r="M70" s="149">
        <v>3</v>
      </c>
      <c r="N70" s="149">
        <v>2000</v>
      </c>
      <c r="O70" s="149">
        <v>2.1</v>
      </c>
      <c r="P70" s="149" t="s">
        <v>75</v>
      </c>
      <c r="Q70" s="149">
        <v>2.16E-5</v>
      </c>
      <c r="R70" s="149">
        <v>1965000</v>
      </c>
      <c r="S70" s="149"/>
      <c r="T70" s="152"/>
      <c r="U70" s="149"/>
      <c r="V70" s="152"/>
      <c r="W70" s="149"/>
      <c r="X70" s="149"/>
      <c r="Y70" s="149"/>
      <c r="Z70" s="149"/>
      <c r="AA70" s="149"/>
      <c r="AB70" s="149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  <c r="BB70" s="149"/>
      <c r="BC70" s="149"/>
      <c r="BD70" s="149"/>
      <c r="BE70" s="149"/>
      <c r="BF70" s="149"/>
      <c r="BG70" s="149"/>
      <c r="BH70" s="149"/>
      <c r="BI70" s="149"/>
      <c r="BJ70" s="149"/>
      <c r="BK70" s="149"/>
      <c r="BL70" s="149"/>
      <c r="BM70" s="149"/>
      <c r="BN70" s="149"/>
      <c r="BO70" s="149"/>
      <c r="BP70" s="149">
        <v>12.551429696293063</v>
      </c>
      <c r="BQ70" s="149">
        <f t="shared" ca="1" si="7"/>
        <v>12.369158026373274</v>
      </c>
      <c r="BR70" s="149">
        <v>23.25149554653396</v>
      </c>
      <c r="BS70" s="149">
        <v>23.040478770762302</v>
      </c>
      <c r="BT70" s="149">
        <f t="shared" ca="1" si="6"/>
        <v>681.79445641702023</v>
      </c>
      <c r="BU70" s="153">
        <v>28978.76134574115</v>
      </c>
      <c r="BV70" s="149">
        <f t="shared" ca="1" si="8"/>
        <v>2.6347269712062808E-2</v>
      </c>
      <c r="BW70" s="1"/>
    </row>
    <row r="71" spans="1:75" x14ac:dyDescent="0.25">
      <c r="A71" s="149">
        <f t="shared" si="9"/>
        <v>70</v>
      </c>
      <c r="B71" s="150" t="s">
        <v>147</v>
      </c>
      <c r="C71" s="151">
        <v>0.45833333333333331</v>
      </c>
      <c r="D71" s="149" t="s">
        <v>142</v>
      </c>
      <c r="E71" s="149" t="s">
        <v>143</v>
      </c>
      <c r="F71" s="149" t="s">
        <v>144</v>
      </c>
      <c r="G71" s="149">
        <v>123456</v>
      </c>
      <c r="H71" s="149">
        <v>4</v>
      </c>
      <c r="I71" s="149">
        <v>29250</v>
      </c>
      <c r="J71" s="149" t="s">
        <v>137</v>
      </c>
      <c r="K71" s="149" t="s">
        <v>83</v>
      </c>
      <c r="L71" s="149" t="s">
        <v>81</v>
      </c>
      <c r="M71" s="149">
        <v>3</v>
      </c>
      <c r="N71" s="149">
        <v>2000</v>
      </c>
      <c r="O71" s="149">
        <v>2.1</v>
      </c>
      <c r="P71" s="149" t="s">
        <v>75</v>
      </c>
      <c r="Q71" s="149">
        <v>2.16E-5</v>
      </c>
      <c r="R71" s="149">
        <v>1965000</v>
      </c>
      <c r="S71" s="149"/>
      <c r="T71" s="152"/>
      <c r="U71" s="149"/>
      <c r="V71" s="152"/>
      <c r="W71" s="149"/>
      <c r="X71" s="149"/>
      <c r="Y71" s="149"/>
      <c r="Z71" s="149"/>
      <c r="AA71" s="149"/>
      <c r="AB71" s="149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  <c r="BB71" s="149"/>
      <c r="BC71" s="149"/>
      <c r="BD71" s="149"/>
      <c r="BE71" s="149"/>
      <c r="BF71" s="149"/>
      <c r="BG71" s="149"/>
      <c r="BH71" s="149"/>
      <c r="BI71" s="149"/>
      <c r="BJ71" s="149"/>
      <c r="BK71" s="149"/>
      <c r="BL71" s="149"/>
      <c r="BM71" s="149"/>
      <c r="BN71" s="149"/>
      <c r="BO71" s="149"/>
      <c r="BP71" s="149">
        <v>14.200113293076223</v>
      </c>
      <c r="BQ71" s="149">
        <f t="shared" ca="1" si="7"/>
        <v>13.864267805408753</v>
      </c>
      <c r="BR71" s="149">
        <v>20.037839178976451</v>
      </c>
      <c r="BS71" s="149">
        <v>19.993937595057691</v>
      </c>
      <c r="BT71" s="149">
        <f t="shared" ca="1" si="6"/>
        <v>738.66077251095055</v>
      </c>
      <c r="BU71" s="153">
        <v>26783.063847046575</v>
      </c>
      <c r="BV71" s="149">
        <f t="shared" ca="1" si="8"/>
        <v>2.0980486726486898E-2</v>
      </c>
      <c r="BW71" s="1"/>
    </row>
    <row r="72" spans="1:75" x14ac:dyDescent="0.25">
      <c r="A72" s="149">
        <f t="shared" si="9"/>
        <v>71</v>
      </c>
      <c r="B72" s="150" t="s">
        <v>147</v>
      </c>
      <c r="C72" s="151">
        <v>0.45833333333333331</v>
      </c>
      <c r="D72" s="149" t="s">
        <v>142</v>
      </c>
      <c r="E72" s="149" t="s">
        <v>143</v>
      </c>
      <c r="F72" s="149" t="s">
        <v>144</v>
      </c>
      <c r="G72" s="149">
        <v>123456</v>
      </c>
      <c r="H72" s="149">
        <v>4</v>
      </c>
      <c r="I72" s="149">
        <v>29250</v>
      </c>
      <c r="J72" s="149" t="s">
        <v>137</v>
      </c>
      <c r="K72" s="149" t="s">
        <v>83</v>
      </c>
      <c r="L72" s="149" t="s">
        <v>81</v>
      </c>
      <c r="M72" s="149">
        <v>3</v>
      </c>
      <c r="N72" s="149">
        <v>2000</v>
      </c>
      <c r="O72" s="149">
        <v>2.1</v>
      </c>
      <c r="P72" s="149" t="s">
        <v>75</v>
      </c>
      <c r="Q72" s="149">
        <v>2.16E-5</v>
      </c>
      <c r="R72" s="149">
        <v>1965000</v>
      </c>
      <c r="S72" s="149"/>
      <c r="T72" s="152"/>
      <c r="U72" s="149"/>
      <c r="V72" s="152"/>
      <c r="W72" s="149"/>
      <c r="X72" s="149"/>
      <c r="Y72" s="149"/>
      <c r="Z72" s="149"/>
      <c r="AA72" s="149"/>
      <c r="AB72" s="149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  <c r="BB72" s="149"/>
      <c r="BC72" s="149"/>
      <c r="BD72" s="149"/>
      <c r="BE72" s="149"/>
      <c r="BF72" s="149"/>
      <c r="BG72" s="149"/>
      <c r="BH72" s="149"/>
      <c r="BI72" s="149"/>
      <c r="BJ72" s="149"/>
      <c r="BK72" s="149"/>
      <c r="BL72" s="149"/>
      <c r="BM72" s="149"/>
      <c r="BN72" s="149"/>
      <c r="BO72" s="149"/>
      <c r="BP72" s="149">
        <v>13.850688856842201</v>
      </c>
      <c r="BQ72" s="149">
        <f t="shared" ca="1" si="7"/>
        <v>13.832659230680042</v>
      </c>
      <c r="BR72" s="149">
        <v>24.429060877289771</v>
      </c>
      <c r="BS72" s="149">
        <v>24.125486839928922</v>
      </c>
      <c r="BT72" s="149">
        <f t="shared" ca="1" si="6"/>
        <v>750.43937900116168</v>
      </c>
      <c r="BU72" s="153">
        <v>28481.19461303571</v>
      </c>
      <c r="BV72" s="149">
        <f t="shared" ca="1" si="8"/>
        <v>8.4717215992316207E-3</v>
      </c>
      <c r="BW72" s="1"/>
    </row>
    <row r="73" spans="1:75" x14ac:dyDescent="0.25">
      <c r="A73" s="149">
        <f t="shared" si="9"/>
        <v>72</v>
      </c>
      <c r="B73" s="150" t="s">
        <v>147</v>
      </c>
      <c r="C73" s="151">
        <v>0.45833333333333331</v>
      </c>
      <c r="D73" s="149" t="s">
        <v>142</v>
      </c>
      <c r="E73" s="149" t="s">
        <v>143</v>
      </c>
      <c r="F73" s="149" t="s">
        <v>144</v>
      </c>
      <c r="G73" s="149">
        <v>123821</v>
      </c>
      <c r="H73" s="149">
        <v>4</v>
      </c>
      <c r="I73" s="149">
        <v>28045</v>
      </c>
      <c r="J73" s="149" t="s">
        <v>145</v>
      </c>
      <c r="K73" s="149" t="s">
        <v>83</v>
      </c>
      <c r="L73" s="149" t="s">
        <v>81</v>
      </c>
      <c r="M73" s="149">
        <v>3</v>
      </c>
      <c r="N73" s="149">
        <v>2000</v>
      </c>
      <c r="O73" s="149">
        <v>2.1</v>
      </c>
      <c r="P73" s="149" t="s">
        <v>75</v>
      </c>
      <c r="Q73" s="149">
        <v>2.16E-5</v>
      </c>
      <c r="R73" s="149">
        <v>1965000</v>
      </c>
      <c r="S73" s="149"/>
      <c r="T73" s="152"/>
      <c r="U73" s="149"/>
      <c r="V73" s="152"/>
      <c r="W73" s="149"/>
      <c r="X73" s="149"/>
      <c r="Y73" s="149"/>
      <c r="Z73" s="149"/>
      <c r="AA73" s="149"/>
      <c r="AB73" s="149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  <c r="BB73" s="149"/>
      <c r="BC73" s="149"/>
      <c r="BD73" s="149"/>
      <c r="BE73" s="149"/>
      <c r="BF73" s="149"/>
      <c r="BG73" s="149"/>
      <c r="BH73" s="149"/>
      <c r="BI73" s="149"/>
      <c r="BJ73" s="149"/>
      <c r="BK73" s="149"/>
      <c r="BL73" s="149"/>
      <c r="BM73" s="149"/>
      <c r="BN73" s="149"/>
      <c r="BO73" s="149"/>
      <c r="BP73" s="149">
        <v>12.22346612358405</v>
      </c>
      <c r="BQ73" s="149">
        <f t="shared" ca="1" si="7"/>
        <v>11.969765396380238</v>
      </c>
      <c r="BR73" s="149">
        <v>20.100991214272064</v>
      </c>
      <c r="BS73" s="149">
        <v>19.797308819354146</v>
      </c>
      <c r="BT73" s="149">
        <f t="shared" ca="1" si="6"/>
        <v>795.13765534807271</v>
      </c>
      <c r="BU73" s="153">
        <v>28660.514837115301</v>
      </c>
      <c r="BV73" s="149">
        <f t="shared" ca="1" si="8"/>
        <v>2.9746343244631823E-2</v>
      </c>
      <c r="BW73" s="1"/>
    </row>
    <row r="74" spans="1:75" x14ac:dyDescent="0.25">
      <c r="A74" s="149">
        <f t="shared" si="9"/>
        <v>73</v>
      </c>
      <c r="B74" s="150" t="s">
        <v>147</v>
      </c>
      <c r="C74" s="151">
        <v>0.45833333333333331</v>
      </c>
      <c r="D74" s="149" t="s">
        <v>142</v>
      </c>
      <c r="E74" s="149" t="s">
        <v>143</v>
      </c>
      <c r="F74" s="149" t="s">
        <v>144</v>
      </c>
      <c r="G74" s="149">
        <v>123821</v>
      </c>
      <c r="H74" s="149">
        <v>4</v>
      </c>
      <c r="I74" s="149">
        <v>28045</v>
      </c>
      <c r="J74" s="149" t="s">
        <v>145</v>
      </c>
      <c r="K74" s="149" t="s">
        <v>83</v>
      </c>
      <c r="L74" s="149" t="s">
        <v>81</v>
      </c>
      <c r="M74" s="149">
        <v>3</v>
      </c>
      <c r="N74" s="149">
        <v>2000</v>
      </c>
      <c r="O74" s="149">
        <v>2.1</v>
      </c>
      <c r="P74" s="149" t="s">
        <v>75</v>
      </c>
      <c r="Q74" s="149">
        <v>2.16E-5</v>
      </c>
      <c r="R74" s="149">
        <v>1965000</v>
      </c>
      <c r="S74" s="149"/>
      <c r="T74" s="152"/>
      <c r="U74" s="149"/>
      <c r="V74" s="152"/>
      <c r="W74" s="149"/>
      <c r="X74" s="149"/>
      <c r="Y74" s="149"/>
      <c r="Z74" s="149"/>
      <c r="AA74" s="149"/>
      <c r="AB74" s="149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  <c r="BB74" s="149"/>
      <c r="BC74" s="149"/>
      <c r="BD74" s="149"/>
      <c r="BE74" s="149"/>
      <c r="BF74" s="149"/>
      <c r="BG74" s="149"/>
      <c r="BH74" s="149"/>
      <c r="BI74" s="149"/>
      <c r="BJ74" s="149"/>
      <c r="BK74" s="149"/>
      <c r="BL74" s="149"/>
      <c r="BM74" s="149"/>
      <c r="BN74" s="149"/>
      <c r="BO74" s="149"/>
      <c r="BP74" s="149">
        <v>13.297422484974218</v>
      </c>
      <c r="BQ74" s="149">
        <f t="shared" ca="1" si="7"/>
        <v>12.952902095495995</v>
      </c>
      <c r="BR74" s="149">
        <v>20.815829506301018</v>
      </c>
      <c r="BS74" s="149">
        <v>20.43762810485438</v>
      </c>
      <c r="BT74" s="149">
        <f t="shared" ca="1" si="6"/>
        <v>670.70872080959316</v>
      </c>
      <c r="BU74" s="153">
        <v>27685.816205310912</v>
      </c>
      <c r="BV74" s="149">
        <f t="shared" ca="1" si="8"/>
        <v>1.4545724355296542E-2</v>
      </c>
      <c r="BW74" s="1"/>
    </row>
    <row r="75" spans="1:75" x14ac:dyDescent="0.25">
      <c r="A75" s="149">
        <f t="shared" si="9"/>
        <v>74</v>
      </c>
      <c r="B75" s="150" t="s">
        <v>147</v>
      </c>
      <c r="C75" s="151">
        <v>0.45833333333333331</v>
      </c>
      <c r="D75" s="149" t="s">
        <v>142</v>
      </c>
      <c r="E75" s="149" t="s">
        <v>143</v>
      </c>
      <c r="F75" s="149" t="s">
        <v>144</v>
      </c>
      <c r="G75" s="149">
        <v>123456</v>
      </c>
      <c r="H75" s="149">
        <v>4</v>
      </c>
      <c r="I75" s="149">
        <v>29250</v>
      </c>
      <c r="J75" s="149" t="s">
        <v>137</v>
      </c>
      <c r="K75" s="149" t="s">
        <v>83</v>
      </c>
      <c r="L75" s="149" t="s">
        <v>81</v>
      </c>
      <c r="M75" s="149">
        <v>3</v>
      </c>
      <c r="N75" s="149">
        <v>2000</v>
      </c>
      <c r="O75" s="149">
        <v>2.1</v>
      </c>
      <c r="P75" s="149" t="s">
        <v>75</v>
      </c>
      <c r="Q75" s="149">
        <v>2.16E-5</v>
      </c>
      <c r="R75" s="149">
        <v>1965000</v>
      </c>
      <c r="S75" s="149"/>
      <c r="T75" s="152"/>
      <c r="U75" s="149"/>
      <c r="V75" s="152"/>
      <c r="W75" s="149"/>
      <c r="X75" s="149"/>
      <c r="Y75" s="149"/>
      <c r="Z75" s="149"/>
      <c r="AA75" s="149"/>
      <c r="AB75" s="149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  <c r="BB75" s="149"/>
      <c r="BC75" s="149"/>
      <c r="BD75" s="149"/>
      <c r="BE75" s="149"/>
      <c r="BF75" s="149"/>
      <c r="BG75" s="149"/>
      <c r="BH75" s="149"/>
      <c r="BI75" s="149"/>
      <c r="BJ75" s="149"/>
      <c r="BK75" s="149"/>
      <c r="BL75" s="149"/>
      <c r="BM75" s="149"/>
      <c r="BN75" s="149"/>
      <c r="BO75" s="149"/>
      <c r="BP75" s="149">
        <v>12.606494023193831</v>
      </c>
      <c r="BQ75" s="149">
        <f t="shared" ca="1" si="7"/>
        <v>12.460356699251388</v>
      </c>
      <c r="BR75" s="149">
        <v>22.650840637880414</v>
      </c>
      <c r="BS75" s="149">
        <v>22.472335074935568</v>
      </c>
      <c r="BT75" s="149">
        <f t="shared" ca="1" si="6"/>
        <v>697.11746618478401</v>
      </c>
      <c r="BU75" s="153">
        <v>29666.418411316292</v>
      </c>
      <c r="BV75" s="149">
        <f t="shared" ca="1" si="8"/>
        <v>2.6876509618466694E-2</v>
      </c>
      <c r="BW75" s="1"/>
    </row>
    <row r="76" spans="1:75" x14ac:dyDescent="0.25">
      <c r="A76" s="149">
        <f t="shared" si="9"/>
        <v>75</v>
      </c>
      <c r="B76" s="150" t="s">
        <v>147</v>
      </c>
      <c r="C76" s="151">
        <v>0.45833333333333331</v>
      </c>
      <c r="D76" s="149" t="s">
        <v>142</v>
      </c>
      <c r="E76" s="149" t="s">
        <v>143</v>
      </c>
      <c r="F76" s="149" t="s">
        <v>144</v>
      </c>
      <c r="G76" s="149">
        <v>123456</v>
      </c>
      <c r="H76" s="149">
        <v>4</v>
      </c>
      <c r="I76" s="149">
        <v>29250</v>
      </c>
      <c r="J76" s="149" t="s">
        <v>137</v>
      </c>
      <c r="K76" s="149" t="s">
        <v>83</v>
      </c>
      <c r="L76" s="149" t="s">
        <v>81</v>
      </c>
      <c r="M76" s="149">
        <v>3</v>
      </c>
      <c r="N76" s="149">
        <v>2000</v>
      </c>
      <c r="O76" s="149">
        <v>2.1</v>
      </c>
      <c r="P76" s="149" t="s">
        <v>75</v>
      </c>
      <c r="Q76" s="149">
        <v>2.16E-5</v>
      </c>
      <c r="R76" s="149">
        <v>1965000</v>
      </c>
      <c r="S76" s="149"/>
      <c r="T76" s="152"/>
      <c r="U76" s="149"/>
      <c r="V76" s="152"/>
      <c r="W76" s="149"/>
      <c r="X76" s="149"/>
      <c r="Y76" s="149"/>
      <c r="Z76" s="149"/>
      <c r="AA76" s="149"/>
      <c r="AB76" s="149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  <c r="BB76" s="149"/>
      <c r="BC76" s="149"/>
      <c r="BD76" s="149"/>
      <c r="BE76" s="149"/>
      <c r="BF76" s="149"/>
      <c r="BG76" s="149"/>
      <c r="BH76" s="149"/>
      <c r="BI76" s="149"/>
      <c r="BJ76" s="149"/>
      <c r="BK76" s="149"/>
      <c r="BL76" s="149"/>
      <c r="BM76" s="149"/>
      <c r="BN76" s="149"/>
      <c r="BO76" s="149"/>
      <c r="BP76" s="149">
        <v>12.777996295873747</v>
      </c>
      <c r="BQ76" s="149">
        <f t="shared" ca="1" si="7"/>
        <v>12.289687933306441</v>
      </c>
      <c r="BR76" s="149">
        <v>23.710181279513812</v>
      </c>
      <c r="BS76" s="149">
        <v>23.526462894325061</v>
      </c>
      <c r="BT76" s="149">
        <f t="shared" ca="1" si="6"/>
        <v>616.31099134344561</v>
      </c>
      <c r="BU76" s="153">
        <v>28790.742819921608</v>
      </c>
      <c r="BV76" s="149">
        <f t="shared" ca="1" si="8"/>
        <v>7.6178864067891856E-3</v>
      </c>
      <c r="BW76" s="1"/>
    </row>
    <row r="77" spans="1:75" x14ac:dyDescent="0.25">
      <c r="A77" s="149">
        <f t="shared" si="9"/>
        <v>76</v>
      </c>
      <c r="B77" s="150" t="s">
        <v>147</v>
      </c>
      <c r="C77" s="151">
        <v>0.45833333333333331</v>
      </c>
      <c r="D77" s="149" t="s">
        <v>142</v>
      </c>
      <c r="E77" s="149" t="s">
        <v>143</v>
      </c>
      <c r="F77" s="149" t="s">
        <v>144</v>
      </c>
      <c r="G77" s="149">
        <v>123821</v>
      </c>
      <c r="H77" s="149">
        <v>4</v>
      </c>
      <c r="I77" s="149">
        <v>28045</v>
      </c>
      <c r="J77" s="149" t="s">
        <v>145</v>
      </c>
      <c r="K77" s="149" t="s">
        <v>83</v>
      </c>
      <c r="L77" s="149" t="s">
        <v>81</v>
      </c>
      <c r="M77" s="149">
        <v>3</v>
      </c>
      <c r="N77" s="149">
        <v>2000</v>
      </c>
      <c r="O77" s="149">
        <v>2.1</v>
      </c>
      <c r="P77" s="149" t="s">
        <v>75</v>
      </c>
      <c r="Q77" s="149">
        <v>2.16E-5</v>
      </c>
      <c r="R77" s="149">
        <v>1965000</v>
      </c>
      <c r="S77" s="149"/>
      <c r="T77" s="152"/>
      <c r="U77" s="149"/>
      <c r="V77" s="152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  <c r="BB77" s="149"/>
      <c r="BC77" s="149"/>
      <c r="BD77" s="149"/>
      <c r="BE77" s="149"/>
      <c r="BF77" s="149"/>
      <c r="BG77" s="149"/>
      <c r="BH77" s="149"/>
      <c r="BI77" s="149"/>
      <c r="BJ77" s="149"/>
      <c r="BK77" s="149"/>
      <c r="BL77" s="149"/>
      <c r="BM77" s="149"/>
      <c r="BN77" s="149"/>
      <c r="BO77" s="149"/>
      <c r="BP77" s="149">
        <v>13.734930318169813</v>
      </c>
      <c r="BQ77" s="149">
        <f t="shared" ca="1" si="7"/>
        <v>13.541125413457575</v>
      </c>
      <c r="BR77" s="149">
        <v>24.739002968664487</v>
      </c>
      <c r="BS77" s="149">
        <v>24.529173805276308</v>
      </c>
      <c r="BT77" s="149">
        <f t="shared" ca="1" si="6"/>
        <v>788.28266022251034</v>
      </c>
      <c r="BU77" s="153">
        <v>27207.528655037026</v>
      </c>
      <c r="BV77" s="149">
        <f t="shared" ca="1" si="8"/>
        <v>5.751777563567621E-3</v>
      </c>
      <c r="BW77" s="1"/>
    </row>
    <row r="78" spans="1:75" x14ac:dyDescent="0.25">
      <c r="A78" s="149">
        <f t="shared" si="9"/>
        <v>77</v>
      </c>
      <c r="B78" s="150" t="s">
        <v>147</v>
      </c>
      <c r="C78" s="151">
        <v>0.45833333333333331</v>
      </c>
      <c r="D78" s="149" t="s">
        <v>142</v>
      </c>
      <c r="E78" s="149" t="s">
        <v>143</v>
      </c>
      <c r="F78" s="149" t="s">
        <v>144</v>
      </c>
      <c r="G78" s="149">
        <v>123821</v>
      </c>
      <c r="H78" s="149">
        <v>4</v>
      </c>
      <c r="I78" s="149">
        <v>28045</v>
      </c>
      <c r="J78" s="149" t="s">
        <v>145</v>
      </c>
      <c r="K78" s="149" t="s">
        <v>83</v>
      </c>
      <c r="L78" s="149" t="s">
        <v>81</v>
      </c>
      <c r="M78" s="149">
        <v>3</v>
      </c>
      <c r="N78" s="149">
        <v>2000</v>
      </c>
      <c r="O78" s="149">
        <v>2.1</v>
      </c>
      <c r="P78" s="149" t="s">
        <v>75</v>
      </c>
      <c r="Q78" s="149">
        <v>2.16E-5</v>
      </c>
      <c r="R78" s="149">
        <v>1965000</v>
      </c>
      <c r="S78" s="149"/>
      <c r="T78" s="152"/>
      <c r="U78" s="149"/>
      <c r="V78" s="152"/>
      <c r="W78" s="149"/>
      <c r="X78" s="149"/>
      <c r="Y78" s="149"/>
      <c r="Z78" s="149"/>
      <c r="AA78" s="149"/>
      <c r="AB78" s="149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  <c r="BB78" s="149"/>
      <c r="BC78" s="149"/>
      <c r="BD78" s="149"/>
      <c r="BE78" s="149"/>
      <c r="BF78" s="149"/>
      <c r="BG78" s="149"/>
      <c r="BH78" s="149"/>
      <c r="BI78" s="149"/>
      <c r="BJ78" s="149"/>
      <c r="BK78" s="149"/>
      <c r="BL78" s="149"/>
      <c r="BM78" s="149"/>
      <c r="BN78" s="149"/>
      <c r="BO78" s="149"/>
      <c r="BP78" s="149">
        <v>13.137121544615782</v>
      </c>
      <c r="BQ78" s="149">
        <f t="shared" ca="1" si="7"/>
        <v>13.125916900604135</v>
      </c>
      <c r="BR78" s="149">
        <v>24.526618714498227</v>
      </c>
      <c r="BS78" s="149">
        <v>24.229819488083113</v>
      </c>
      <c r="BT78" s="149">
        <f t="shared" ca="1" si="6"/>
        <v>698.423044569073</v>
      </c>
      <c r="BU78" s="153">
        <v>27054.82816231775</v>
      </c>
      <c r="BV78" s="149">
        <f t="shared" ca="1" si="8"/>
        <v>9.2609146096689562E-3</v>
      </c>
      <c r="BW78" s="1"/>
    </row>
    <row r="79" spans="1:75" x14ac:dyDescent="0.25">
      <c r="A79" s="149">
        <f t="shared" si="9"/>
        <v>78</v>
      </c>
      <c r="B79" s="150" t="s">
        <v>147</v>
      </c>
      <c r="C79" s="151">
        <v>0.45833333333333331</v>
      </c>
      <c r="D79" s="149" t="s">
        <v>142</v>
      </c>
      <c r="E79" s="149" t="s">
        <v>143</v>
      </c>
      <c r="F79" s="149" t="s">
        <v>144</v>
      </c>
      <c r="G79" s="149">
        <v>123456</v>
      </c>
      <c r="H79" s="149">
        <v>4</v>
      </c>
      <c r="I79" s="149">
        <v>29250</v>
      </c>
      <c r="J79" s="149" t="s">
        <v>137</v>
      </c>
      <c r="K79" s="149" t="s">
        <v>83</v>
      </c>
      <c r="L79" s="149" t="s">
        <v>81</v>
      </c>
      <c r="M79" s="149">
        <v>3</v>
      </c>
      <c r="N79" s="149">
        <v>2000</v>
      </c>
      <c r="O79" s="149">
        <v>2.1</v>
      </c>
      <c r="P79" s="149" t="s">
        <v>75</v>
      </c>
      <c r="Q79" s="149">
        <v>2.16E-5</v>
      </c>
      <c r="R79" s="149">
        <v>1965000</v>
      </c>
      <c r="S79" s="149"/>
      <c r="T79" s="152"/>
      <c r="U79" s="149"/>
      <c r="V79" s="152"/>
      <c r="W79" s="149"/>
      <c r="X79" s="149"/>
      <c r="Y79" s="149"/>
      <c r="Z79" s="149"/>
      <c r="AA79" s="149"/>
      <c r="AB79" s="149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  <c r="BB79" s="149"/>
      <c r="BC79" s="149"/>
      <c r="BD79" s="149"/>
      <c r="BE79" s="149"/>
      <c r="BF79" s="149"/>
      <c r="BG79" s="149"/>
      <c r="BH79" s="149"/>
      <c r="BI79" s="149"/>
      <c r="BJ79" s="149"/>
      <c r="BK79" s="149"/>
      <c r="BL79" s="149"/>
      <c r="BM79" s="149"/>
      <c r="BN79" s="149"/>
      <c r="BO79" s="149"/>
      <c r="BP79" s="149">
        <v>12.161283280694686</v>
      </c>
      <c r="BQ79" s="149">
        <f t="shared" ca="1" si="7"/>
        <v>12.159457300091761</v>
      </c>
      <c r="BR79" s="149">
        <v>19.997904401796834</v>
      </c>
      <c r="BS79" s="149">
        <v>19.727326563292536</v>
      </c>
      <c r="BT79" s="149">
        <f t="shared" ca="1" si="6"/>
        <v>666.27189023739857</v>
      </c>
      <c r="BU79" s="153">
        <v>29027.962761193481</v>
      </c>
      <c r="BV79" s="149">
        <f t="shared" ca="1" si="8"/>
        <v>5.0346019998961924E-3</v>
      </c>
      <c r="BW79" s="1"/>
    </row>
    <row r="80" spans="1:75" x14ac:dyDescent="0.25">
      <c r="A80" s="149">
        <f t="shared" si="9"/>
        <v>79</v>
      </c>
      <c r="B80" s="150" t="s">
        <v>147</v>
      </c>
      <c r="C80" s="151">
        <v>0.45833333333333331</v>
      </c>
      <c r="D80" s="149" t="s">
        <v>142</v>
      </c>
      <c r="E80" s="149" t="s">
        <v>143</v>
      </c>
      <c r="F80" s="149" t="s">
        <v>144</v>
      </c>
      <c r="G80" s="149">
        <v>123456</v>
      </c>
      <c r="H80" s="149">
        <v>4</v>
      </c>
      <c r="I80" s="149">
        <v>29250</v>
      </c>
      <c r="J80" s="149" t="s">
        <v>137</v>
      </c>
      <c r="K80" s="149" t="s">
        <v>83</v>
      </c>
      <c r="L80" s="149" t="s">
        <v>81</v>
      </c>
      <c r="M80" s="149">
        <v>3</v>
      </c>
      <c r="N80" s="149">
        <v>2000</v>
      </c>
      <c r="O80" s="149">
        <v>2.1</v>
      </c>
      <c r="P80" s="149" t="s">
        <v>75</v>
      </c>
      <c r="Q80" s="149">
        <v>2.16E-5</v>
      </c>
      <c r="R80" s="149">
        <v>1965000</v>
      </c>
      <c r="S80" s="149"/>
      <c r="T80" s="152"/>
      <c r="U80" s="149"/>
      <c r="V80" s="152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  <c r="BB80" s="149"/>
      <c r="BC80" s="149"/>
      <c r="BD80" s="149"/>
      <c r="BE80" s="149"/>
      <c r="BF80" s="149"/>
      <c r="BG80" s="149"/>
      <c r="BH80" s="149"/>
      <c r="BI80" s="149"/>
      <c r="BJ80" s="149"/>
      <c r="BK80" s="149"/>
      <c r="BL80" s="149"/>
      <c r="BM80" s="149"/>
      <c r="BN80" s="149"/>
      <c r="BO80" s="149"/>
      <c r="BP80" s="149">
        <v>12.360640339975467</v>
      </c>
      <c r="BQ80" s="149">
        <f t="shared" ca="1" si="7"/>
        <v>12.071010223551591</v>
      </c>
      <c r="BR80" s="149">
        <v>22.196541199570593</v>
      </c>
      <c r="BS80" s="149">
        <v>21.707171291579861</v>
      </c>
      <c r="BT80" s="149">
        <f t="shared" ca="1" si="6"/>
        <v>628.01502900296794</v>
      </c>
      <c r="BU80" s="153">
        <v>28847.2670353547</v>
      </c>
      <c r="BV80" s="149">
        <f t="shared" ca="1" si="8"/>
        <v>2.6715686269884194E-2</v>
      </c>
      <c r="BW80" s="1"/>
    </row>
    <row r="81" spans="1:75" x14ac:dyDescent="0.25">
      <c r="A81" s="149">
        <f t="shared" si="9"/>
        <v>80</v>
      </c>
      <c r="B81" s="150" t="s">
        <v>147</v>
      </c>
      <c r="C81" s="151">
        <v>0.45833333333333331</v>
      </c>
      <c r="D81" s="149" t="s">
        <v>142</v>
      </c>
      <c r="E81" s="149" t="s">
        <v>143</v>
      </c>
      <c r="F81" s="149" t="s">
        <v>144</v>
      </c>
      <c r="G81" s="149">
        <v>123821</v>
      </c>
      <c r="H81" s="149">
        <v>4</v>
      </c>
      <c r="I81" s="149">
        <v>28045</v>
      </c>
      <c r="J81" s="149" t="s">
        <v>145</v>
      </c>
      <c r="K81" s="149" t="s">
        <v>83</v>
      </c>
      <c r="L81" s="149" t="s">
        <v>81</v>
      </c>
      <c r="M81" s="149">
        <v>3</v>
      </c>
      <c r="N81" s="149">
        <v>2000</v>
      </c>
      <c r="O81" s="149">
        <v>2.1</v>
      </c>
      <c r="P81" s="149" t="s">
        <v>75</v>
      </c>
      <c r="Q81" s="149">
        <v>2.16E-5</v>
      </c>
      <c r="R81" s="149">
        <v>1965000</v>
      </c>
      <c r="S81" s="149"/>
      <c r="T81" s="152"/>
      <c r="U81" s="149"/>
      <c r="V81" s="152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  <c r="BB81" s="149"/>
      <c r="BC81" s="149"/>
      <c r="BD81" s="149"/>
      <c r="BE81" s="149"/>
      <c r="BF81" s="149"/>
      <c r="BG81" s="149"/>
      <c r="BH81" s="149"/>
      <c r="BI81" s="149"/>
      <c r="BJ81" s="149"/>
      <c r="BK81" s="149"/>
      <c r="BL81" s="149"/>
      <c r="BM81" s="149"/>
      <c r="BN81" s="149"/>
      <c r="BO81" s="149"/>
      <c r="BP81" s="149">
        <v>14.172689811630562</v>
      </c>
      <c r="BQ81" s="149">
        <f t="shared" ca="1" si="7"/>
        <v>13.766864136544491</v>
      </c>
      <c r="BR81" s="149">
        <v>20.036657459252197</v>
      </c>
      <c r="BS81" s="149">
        <v>19.9027443089056</v>
      </c>
      <c r="BT81" s="149">
        <f t="shared" ca="1" si="6"/>
        <v>797.39840834302072</v>
      </c>
      <c r="BU81" s="153">
        <v>27582.306079013357</v>
      </c>
      <c r="BV81" s="149">
        <f t="shared" ca="1" si="8"/>
        <v>2.6155218905576417E-2</v>
      </c>
      <c r="BW81" s="1"/>
    </row>
    <row r="82" spans="1:75" x14ac:dyDescent="0.25">
      <c r="A82" s="149">
        <f t="shared" si="9"/>
        <v>81</v>
      </c>
      <c r="B82" s="150" t="s">
        <v>147</v>
      </c>
      <c r="C82" s="151">
        <v>0.45833333333333331</v>
      </c>
      <c r="D82" s="149" t="s">
        <v>142</v>
      </c>
      <c r="E82" s="149" t="s">
        <v>143</v>
      </c>
      <c r="F82" s="149" t="s">
        <v>144</v>
      </c>
      <c r="G82" s="149">
        <v>123821</v>
      </c>
      <c r="H82" s="149">
        <v>4</v>
      </c>
      <c r="I82" s="149">
        <v>28045</v>
      </c>
      <c r="J82" s="149" t="s">
        <v>145</v>
      </c>
      <c r="K82" s="149" t="s">
        <v>83</v>
      </c>
      <c r="L82" s="149" t="s">
        <v>81</v>
      </c>
      <c r="M82" s="149">
        <v>3</v>
      </c>
      <c r="N82" s="149">
        <v>2000</v>
      </c>
      <c r="O82" s="149">
        <v>2.1</v>
      </c>
      <c r="P82" s="149" t="s">
        <v>75</v>
      </c>
      <c r="Q82" s="149">
        <v>2.16E-5</v>
      </c>
      <c r="R82" s="149">
        <v>1965000</v>
      </c>
      <c r="S82" s="149"/>
      <c r="T82" s="152"/>
      <c r="U82" s="149"/>
      <c r="V82" s="152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  <c r="BB82" s="149"/>
      <c r="BC82" s="149"/>
      <c r="BD82" s="149"/>
      <c r="BE82" s="149"/>
      <c r="BF82" s="149"/>
      <c r="BG82" s="149"/>
      <c r="BH82" s="149"/>
      <c r="BI82" s="149"/>
      <c r="BJ82" s="149"/>
      <c r="BK82" s="149"/>
      <c r="BL82" s="149"/>
      <c r="BM82" s="149"/>
      <c r="BN82" s="149"/>
      <c r="BO82" s="149"/>
      <c r="BP82" s="149">
        <v>12.061555864947845</v>
      </c>
      <c r="BQ82" s="149">
        <f t="shared" ca="1" si="7"/>
        <v>11.956191875523263</v>
      </c>
      <c r="BR82" s="149">
        <v>20.642271641888833</v>
      </c>
      <c r="BS82" s="149">
        <v>20.36804310038784</v>
      </c>
      <c r="BT82" s="149">
        <f t="shared" ca="1" si="6"/>
        <v>655.31353091691108</v>
      </c>
      <c r="BU82" s="153">
        <v>28168.848454549276</v>
      </c>
      <c r="BV82" s="149">
        <f t="shared" ca="1" si="8"/>
        <v>2.5847714516740016E-2</v>
      </c>
      <c r="BW82" s="1"/>
    </row>
    <row r="83" spans="1:75" x14ac:dyDescent="0.25">
      <c r="A83" s="149">
        <f t="shared" si="9"/>
        <v>82</v>
      </c>
      <c r="B83" s="150" t="s">
        <v>147</v>
      </c>
      <c r="C83" s="151">
        <v>0.45833333333333331</v>
      </c>
      <c r="D83" s="149" t="s">
        <v>142</v>
      </c>
      <c r="E83" s="149" t="s">
        <v>143</v>
      </c>
      <c r="F83" s="149" t="s">
        <v>144</v>
      </c>
      <c r="G83" s="149">
        <v>123456</v>
      </c>
      <c r="H83" s="149">
        <v>4</v>
      </c>
      <c r="I83" s="149">
        <v>29250</v>
      </c>
      <c r="J83" s="149" t="s">
        <v>137</v>
      </c>
      <c r="K83" s="149" t="s">
        <v>83</v>
      </c>
      <c r="L83" s="149" t="s">
        <v>81</v>
      </c>
      <c r="M83" s="149">
        <v>3</v>
      </c>
      <c r="N83" s="149">
        <v>2000</v>
      </c>
      <c r="O83" s="149">
        <v>2.1</v>
      </c>
      <c r="P83" s="149" t="s">
        <v>75</v>
      </c>
      <c r="Q83" s="149">
        <v>2.16E-5</v>
      </c>
      <c r="R83" s="149">
        <v>1965000</v>
      </c>
      <c r="S83" s="149"/>
      <c r="T83" s="152"/>
      <c r="U83" s="149"/>
      <c r="V83" s="152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  <c r="BB83" s="149"/>
      <c r="BC83" s="149"/>
      <c r="BD83" s="149"/>
      <c r="BE83" s="149"/>
      <c r="BF83" s="149"/>
      <c r="BG83" s="149"/>
      <c r="BH83" s="149"/>
      <c r="BI83" s="149"/>
      <c r="BJ83" s="149"/>
      <c r="BK83" s="149"/>
      <c r="BL83" s="149"/>
      <c r="BM83" s="149"/>
      <c r="BN83" s="149"/>
      <c r="BO83" s="149"/>
      <c r="BP83" s="149">
        <v>14.537043274845367</v>
      </c>
      <c r="BQ83" s="149">
        <f t="shared" ca="1" si="7"/>
        <v>14.089934958468389</v>
      </c>
      <c r="BR83" s="149">
        <v>18.278433534612013</v>
      </c>
      <c r="BS83" s="149">
        <v>17.929320608157266</v>
      </c>
      <c r="BT83" s="149">
        <f t="shared" ca="1" si="6"/>
        <v>700.42874465314708</v>
      </c>
      <c r="BU83" s="153">
        <v>28825.619171905833</v>
      </c>
      <c r="BV83" s="149">
        <f t="shared" ca="1" si="8"/>
        <v>7.8071965547491691E-3</v>
      </c>
      <c r="BW83" s="1"/>
    </row>
    <row r="84" spans="1:75" x14ac:dyDescent="0.25">
      <c r="A84" s="149">
        <f t="shared" si="9"/>
        <v>83</v>
      </c>
      <c r="B84" s="150" t="s">
        <v>147</v>
      </c>
      <c r="C84" s="151">
        <v>0.45833333333333331</v>
      </c>
      <c r="D84" s="149" t="s">
        <v>142</v>
      </c>
      <c r="E84" s="149" t="s">
        <v>143</v>
      </c>
      <c r="F84" s="149" t="s">
        <v>144</v>
      </c>
      <c r="G84" s="149">
        <v>123456</v>
      </c>
      <c r="H84" s="149">
        <v>4</v>
      </c>
      <c r="I84" s="149">
        <v>29250</v>
      </c>
      <c r="J84" s="149" t="s">
        <v>137</v>
      </c>
      <c r="K84" s="149" t="s">
        <v>83</v>
      </c>
      <c r="L84" s="149" t="s">
        <v>81</v>
      </c>
      <c r="M84" s="149">
        <v>3</v>
      </c>
      <c r="N84" s="149">
        <v>2000</v>
      </c>
      <c r="O84" s="149">
        <v>2.1</v>
      </c>
      <c r="P84" s="149" t="s">
        <v>75</v>
      </c>
      <c r="Q84" s="149">
        <v>2.16E-5</v>
      </c>
      <c r="R84" s="149">
        <v>1965000</v>
      </c>
      <c r="S84" s="149"/>
      <c r="T84" s="152"/>
      <c r="U84" s="149"/>
      <c r="V84" s="152"/>
      <c r="W84" s="149"/>
      <c r="X84" s="149"/>
      <c r="Y84" s="149"/>
      <c r="Z84" s="149"/>
      <c r="AA84" s="149"/>
      <c r="AB84" s="14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  <c r="BB84" s="149"/>
      <c r="BC84" s="149"/>
      <c r="BD84" s="149"/>
      <c r="BE84" s="149"/>
      <c r="BF84" s="149"/>
      <c r="BG84" s="149"/>
      <c r="BH84" s="149"/>
      <c r="BI84" s="149"/>
      <c r="BJ84" s="149"/>
      <c r="BK84" s="149"/>
      <c r="BL84" s="149"/>
      <c r="BM84" s="149"/>
      <c r="BN84" s="149"/>
      <c r="BO84" s="149"/>
      <c r="BP84" s="149">
        <v>12.126034246114578</v>
      </c>
      <c r="BQ84" s="149">
        <f t="shared" ca="1" si="7"/>
        <v>11.860000226206783</v>
      </c>
      <c r="BR84" s="149">
        <v>24.504179273887704</v>
      </c>
      <c r="BS84" s="149">
        <v>24.434084993551071</v>
      </c>
      <c r="BT84" s="149">
        <f t="shared" ca="1" si="6"/>
        <v>786.82119575872298</v>
      </c>
      <c r="BU84" s="153">
        <v>26873.89933142973</v>
      </c>
      <c r="BV84" s="149">
        <f t="shared" ca="1" si="8"/>
        <v>2.8014307522688853E-2</v>
      </c>
      <c r="BW84" s="1"/>
    </row>
    <row r="85" spans="1:75" x14ac:dyDescent="0.25">
      <c r="A85" s="149">
        <f t="shared" si="9"/>
        <v>84</v>
      </c>
      <c r="B85" s="150" t="s">
        <v>147</v>
      </c>
      <c r="C85" s="151">
        <v>0.45833333333333331</v>
      </c>
      <c r="D85" s="149" t="s">
        <v>142</v>
      </c>
      <c r="E85" s="149" t="s">
        <v>143</v>
      </c>
      <c r="F85" s="149" t="s">
        <v>144</v>
      </c>
      <c r="G85" s="149">
        <v>123821</v>
      </c>
      <c r="H85" s="149">
        <v>4</v>
      </c>
      <c r="I85" s="149">
        <v>28045</v>
      </c>
      <c r="J85" s="149" t="s">
        <v>145</v>
      </c>
      <c r="K85" s="149" t="s">
        <v>83</v>
      </c>
      <c r="L85" s="149" t="s">
        <v>81</v>
      </c>
      <c r="M85" s="149">
        <v>3</v>
      </c>
      <c r="N85" s="149">
        <v>2000</v>
      </c>
      <c r="O85" s="149">
        <v>2.1</v>
      </c>
      <c r="P85" s="149" t="s">
        <v>75</v>
      </c>
      <c r="Q85" s="149">
        <v>2.16E-5</v>
      </c>
      <c r="R85" s="149">
        <v>1965000</v>
      </c>
      <c r="S85" s="149"/>
      <c r="T85" s="152"/>
      <c r="U85" s="149"/>
      <c r="V85" s="152"/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  <c r="BB85" s="149"/>
      <c r="BC85" s="149"/>
      <c r="BD85" s="149"/>
      <c r="BE85" s="149"/>
      <c r="BF85" s="149"/>
      <c r="BG85" s="149"/>
      <c r="BH85" s="149"/>
      <c r="BI85" s="149"/>
      <c r="BJ85" s="149"/>
      <c r="BK85" s="149"/>
      <c r="BL85" s="149"/>
      <c r="BM85" s="149"/>
      <c r="BN85" s="149"/>
      <c r="BO85" s="149"/>
      <c r="BP85" s="149">
        <v>13.820769294350491</v>
      </c>
      <c r="BQ85" s="149">
        <f t="shared" ca="1" si="7"/>
        <v>13.54769158813297</v>
      </c>
      <c r="BR85" s="149">
        <v>18.781983566375619</v>
      </c>
      <c r="BS85" s="149">
        <v>18.480682685646642</v>
      </c>
      <c r="BT85" s="149">
        <f t="shared" ca="1" si="6"/>
        <v>630.00870963006491</v>
      </c>
      <c r="BU85" s="153">
        <v>27299.920566060657</v>
      </c>
      <c r="BV85" s="149">
        <f t="shared" ca="1" si="8"/>
        <v>5.9393958611143596E-3</v>
      </c>
      <c r="BW85" s="1"/>
    </row>
    <row r="86" spans="1:75" x14ac:dyDescent="0.25">
      <c r="A86" s="149">
        <f t="shared" si="9"/>
        <v>85</v>
      </c>
      <c r="B86" s="150" t="s">
        <v>147</v>
      </c>
      <c r="C86" s="151">
        <v>0.45833333333333331</v>
      </c>
      <c r="D86" s="149" t="s">
        <v>142</v>
      </c>
      <c r="E86" s="149" t="s">
        <v>143</v>
      </c>
      <c r="F86" s="149" t="s">
        <v>144</v>
      </c>
      <c r="G86" s="149">
        <v>123821</v>
      </c>
      <c r="H86" s="149">
        <v>4</v>
      </c>
      <c r="I86" s="149">
        <v>28045</v>
      </c>
      <c r="J86" s="149" t="s">
        <v>145</v>
      </c>
      <c r="K86" s="149" t="s">
        <v>83</v>
      </c>
      <c r="L86" s="149" t="s">
        <v>81</v>
      </c>
      <c r="M86" s="149">
        <v>3</v>
      </c>
      <c r="N86" s="149">
        <v>2000</v>
      </c>
      <c r="O86" s="149">
        <v>2.1</v>
      </c>
      <c r="P86" s="149" t="s">
        <v>75</v>
      </c>
      <c r="Q86" s="149">
        <v>2.16E-5</v>
      </c>
      <c r="R86" s="149">
        <v>1965000</v>
      </c>
      <c r="S86" s="149"/>
      <c r="T86" s="152"/>
      <c r="U86" s="149"/>
      <c r="V86" s="152"/>
      <c r="W86" s="149"/>
      <c r="X86" s="149"/>
      <c r="Y86" s="149"/>
      <c r="Z86" s="149"/>
      <c r="AA86" s="149"/>
      <c r="AB86" s="149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  <c r="BB86" s="149"/>
      <c r="BC86" s="149"/>
      <c r="BD86" s="149"/>
      <c r="BE86" s="149"/>
      <c r="BF86" s="149"/>
      <c r="BG86" s="149"/>
      <c r="BH86" s="149"/>
      <c r="BI86" s="149"/>
      <c r="BJ86" s="149"/>
      <c r="BK86" s="149"/>
      <c r="BL86" s="149"/>
      <c r="BM86" s="149"/>
      <c r="BN86" s="149"/>
      <c r="BO86" s="149"/>
      <c r="BP86" s="149">
        <v>12.554544455772428</v>
      </c>
      <c r="BQ86" s="149">
        <f t="shared" ca="1" si="7"/>
        <v>12.42889497660617</v>
      </c>
      <c r="BR86" s="149">
        <v>23.658772709297878</v>
      </c>
      <c r="BS86" s="149">
        <v>23.227820168839177</v>
      </c>
      <c r="BT86" s="149">
        <f t="shared" ca="1" si="6"/>
        <v>660.70719736216836</v>
      </c>
      <c r="BU86" s="153">
        <v>28853.056713429953</v>
      </c>
      <c r="BV86" s="149">
        <f t="shared" ca="1" si="8"/>
        <v>2.256500824475732E-2</v>
      </c>
      <c r="BW86" s="1"/>
    </row>
    <row r="87" spans="1:75" x14ac:dyDescent="0.25">
      <c r="A87" s="149">
        <f t="shared" si="9"/>
        <v>86</v>
      </c>
      <c r="B87" s="150" t="s">
        <v>147</v>
      </c>
      <c r="C87" s="151">
        <v>0.45833333333333331</v>
      </c>
      <c r="D87" s="149" t="s">
        <v>142</v>
      </c>
      <c r="E87" s="149" t="s">
        <v>143</v>
      </c>
      <c r="F87" s="149" t="s">
        <v>144</v>
      </c>
      <c r="G87" s="149">
        <v>123456</v>
      </c>
      <c r="H87" s="149">
        <v>4</v>
      </c>
      <c r="I87" s="149">
        <v>29250</v>
      </c>
      <c r="J87" s="149" t="s">
        <v>137</v>
      </c>
      <c r="K87" s="149" t="s">
        <v>83</v>
      </c>
      <c r="L87" s="149" t="s">
        <v>81</v>
      </c>
      <c r="M87" s="149">
        <v>3</v>
      </c>
      <c r="N87" s="149">
        <v>2000</v>
      </c>
      <c r="O87" s="149">
        <v>2.1</v>
      </c>
      <c r="P87" s="149" t="s">
        <v>75</v>
      </c>
      <c r="Q87" s="149">
        <v>2.16E-5</v>
      </c>
      <c r="R87" s="149">
        <v>1965000</v>
      </c>
      <c r="S87" s="149"/>
      <c r="T87" s="152"/>
      <c r="U87" s="149"/>
      <c r="V87" s="152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  <c r="BB87" s="149"/>
      <c r="BC87" s="149"/>
      <c r="BD87" s="149"/>
      <c r="BE87" s="149"/>
      <c r="BF87" s="149"/>
      <c r="BG87" s="149"/>
      <c r="BH87" s="149"/>
      <c r="BI87" s="149"/>
      <c r="BJ87" s="149"/>
      <c r="BK87" s="149"/>
      <c r="BL87" s="149"/>
      <c r="BM87" s="149"/>
      <c r="BN87" s="149"/>
      <c r="BO87" s="149"/>
      <c r="BP87" s="149">
        <v>13.726172589713274</v>
      </c>
      <c r="BQ87" s="149">
        <f t="shared" ca="1" si="7"/>
        <v>13.66607817347092</v>
      </c>
      <c r="BR87" s="149">
        <v>23.535957744566808</v>
      </c>
      <c r="BS87" s="149">
        <v>23.143037400244282</v>
      </c>
      <c r="BT87" s="149">
        <f t="shared" ca="1" si="6"/>
        <v>668.92681202252174</v>
      </c>
      <c r="BU87" s="153">
        <v>26928.854963359212</v>
      </c>
      <c r="BV87" s="149">
        <f t="shared" ca="1" si="8"/>
        <v>2.8370655268915492E-2</v>
      </c>
      <c r="BW87" s="1"/>
    </row>
    <row r="88" spans="1:75" x14ac:dyDescent="0.25">
      <c r="A88" s="149">
        <f t="shared" si="9"/>
        <v>87</v>
      </c>
      <c r="B88" s="150" t="s">
        <v>147</v>
      </c>
      <c r="C88" s="151">
        <v>0.45833333333333331</v>
      </c>
      <c r="D88" s="149" t="s">
        <v>142</v>
      </c>
      <c r="E88" s="149" t="s">
        <v>143</v>
      </c>
      <c r="F88" s="149" t="s">
        <v>144</v>
      </c>
      <c r="G88" s="149">
        <v>123456</v>
      </c>
      <c r="H88" s="149">
        <v>4</v>
      </c>
      <c r="I88" s="149">
        <v>29250</v>
      </c>
      <c r="J88" s="149" t="s">
        <v>137</v>
      </c>
      <c r="K88" s="149" t="s">
        <v>83</v>
      </c>
      <c r="L88" s="149" t="s">
        <v>81</v>
      </c>
      <c r="M88" s="149">
        <v>3</v>
      </c>
      <c r="N88" s="149">
        <v>2000</v>
      </c>
      <c r="O88" s="149">
        <v>2.1</v>
      </c>
      <c r="P88" s="149" t="s">
        <v>75</v>
      </c>
      <c r="Q88" s="149">
        <v>2.16E-5</v>
      </c>
      <c r="R88" s="149">
        <v>1965000</v>
      </c>
      <c r="S88" s="149"/>
      <c r="T88" s="152"/>
      <c r="U88" s="149"/>
      <c r="V88" s="152"/>
      <c r="W88" s="149"/>
      <c r="X88" s="149"/>
      <c r="Y88" s="149"/>
      <c r="Z88" s="149"/>
      <c r="AA88" s="149"/>
      <c r="AB88" s="149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  <c r="BB88" s="149"/>
      <c r="BC88" s="149"/>
      <c r="BD88" s="149"/>
      <c r="BE88" s="149"/>
      <c r="BF88" s="149"/>
      <c r="BG88" s="149"/>
      <c r="BH88" s="149"/>
      <c r="BI88" s="149"/>
      <c r="BJ88" s="149"/>
      <c r="BK88" s="149"/>
      <c r="BL88" s="149"/>
      <c r="BM88" s="149"/>
      <c r="BN88" s="149"/>
      <c r="BO88" s="149"/>
      <c r="BP88" s="149">
        <v>12.827785549918056</v>
      </c>
      <c r="BQ88" s="149">
        <f t="shared" ca="1" si="7"/>
        <v>12.813048108601487</v>
      </c>
      <c r="BR88" s="149">
        <v>18.159790389930006</v>
      </c>
      <c r="BS88" s="149">
        <v>17.686329180467812</v>
      </c>
      <c r="BT88" s="149">
        <f t="shared" ca="1" si="6"/>
        <v>668.16957527327565</v>
      </c>
      <c r="BU88" s="153">
        <v>27556.352986783273</v>
      </c>
      <c r="BV88" s="149">
        <f t="shared" ca="1" si="8"/>
        <v>1.6093157775107308E-2</v>
      </c>
      <c r="BW88" s="1"/>
    </row>
    <row r="89" spans="1:75" x14ac:dyDescent="0.25">
      <c r="A89" s="149">
        <f t="shared" si="9"/>
        <v>88</v>
      </c>
      <c r="B89" s="150" t="s">
        <v>147</v>
      </c>
      <c r="C89" s="151">
        <v>0.45833333333333331</v>
      </c>
      <c r="D89" s="149" t="s">
        <v>142</v>
      </c>
      <c r="E89" s="149" t="s">
        <v>143</v>
      </c>
      <c r="F89" s="149" t="s">
        <v>144</v>
      </c>
      <c r="G89" s="149">
        <v>123821</v>
      </c>
      <c r="H89" s="149">
        <v>4</v>
      </c>
      <c r="I89" s="149">
        <v>28045</v>
      </c>
      <c r="J89" s="149" t="s">
        <v>145</v>
      </c>
      <c r="K89" s="149" t="s">
        <v>83</v>
      </c>
      <c r="L89" s="149" t="s">
        <v>81</v>
      </c>
      <c r="M89" s="149">
        <v>3</v>
      </c>
      <c r="N89" s="149">
        <v>2000</v>
      </c>
      <c r="O89" s="149">
        <v>2.1</v>
      </c>
      <c r="P89" s="149" t="s">
        <v>75</v>
      </c>
      <c r="Q89" s="149">
        <v>2.16E-5</v>
      </c>
      <c r="R89" s="149">
        <v>1965000</v>
      </c>
      <c r="S89" s="149"/>
      <c r="T89" s="152"/>
      <c r="U89" s="149"/>
      <c r="V89" s="152"/>
      <c r="W89" s="149"/>
      <c r="X89" s="149"/>
      <c r="Y89" s="149"/>
      <c r="Z89" s="149"/>
      <c r="AA89" s="149"/>
      <c r="AB89" s="149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  <c r="BB89" s="149"/>
      <c r="BC89" s="149"/>
      <c r="BD89" s="149"/>
      <c r="BE89" s="149"/>
      <c r="BF89" s="149"/>
      <c r="BG89" s="149"/>
      <c r="BH89" s="149"/>
      <c r="BI89" s="149"/>
      <c r="BJ89" s="149"/>
      <c r="BK89" s="149"/>
      <c r="BL89" s="149"/>
      <c r="BM89" s="149"/>
      <c r="BN89" s="149"/>
      <c r="BO89" s="149"/>
      <c r="BP89" s="149">
        <v>14.539154877773745</v>
      </c>
      <c r="BQ89" s="149">
        <f t="shared" ca="1" si="7"/>
        <v>14.239402792188971</v>
      </c>
      <c r="BR89" s="149">
        <v>20.836477495186259</v>
      </c>
      <c r="BS89" s="149">
        <v>20.451138997610325</v>
      </c>
      <c r="BT89" s="149">
        <f t="shared" ca="1" si="6"/>
        <v>606.44255864589104</v>
      </c>
      <c r="BU89" s="153">
        <v>28272.46599692478</v>
      </c>
      <c r="BV89" s="149">
        <f t="shared" ca="1" si="8"/>
        <v>1.506401344552951E-2</v>
      </c>
      <c r="BW89" s="1"/>
    </row>
    <row r="90" spans="1:75" x14ac:dyDescent="0.25">
      <c r="A90" s="149">
        <f t="shared" si="9"/>
        <v>89</v>
      </c>
      <c r="B90" s="150" t="s">
        <v>147</v>
      </c>
      <c r="C90" s="151">
        <v>0.45833333333333331</v>
      </c>
      <c r="D90" s="149" t="s">
        <v>142</v>
      </c>
      <c r="E90" s="149" t="s">
        <v>143</v>
      </c>
      <c r="F90" s="149" t="s">
        <v>144</v>
      </c>
      <c r="G90" s="149">
        <v>123821</v>
      </c>
      <c r="H90" s="149">
        <v>4</v>
      </c>
      <c r="I90" s="149">
        <v>28045</v>
      </c>
      <c r="J90" s="149" t="s">
        <v>145</v>
      </c>
      <c r="K90" s="149" t="s">
        <v>83</v>
      </c>
      <c r="L90" s="149" t="s">
        <v>81</v>
      </c>
      <c r="M90" s="149">
        <v>3</v>
      </c>
      <c r="N90" s="149">
        <v>2000</v>
      </c>
      <c r="O90" s="149">
        <v>2.1</v>
      </c>
      <c r="P90" s="149" t="s">
        <v>75</v>
      </c>
      <c r="Q90" s="149">
        <v>2.16E-5</v>
      </c>
      <c r="R90" s="149">
        <v>1965000</v>
      </c>
      <c r="S90" s="149"/>
      <c r="T90" s="152"/>
      <c r="U90" s="149"/>
      <c r="V90" s="152"/>
      <c r="W90" s="149"/>
      <c r="X90" s="149"/>
      <c r="Y90" s="149"/>
      <c r="Z90" s="149"/>
      <c r="AA90" s="149"/>
      <c r="AB90" s="149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  <c r="BB90" s="149"/>
      <c r="BC90" s="149"/>
      <c r="BD90" s="149"/>
      <c r="BE90" s="149"/>
      <c r="BF90" s="149"/>
      <c r="BG90" s="149"/>
      <c r="BH90" s="149"/>
      <c r="BI90" s="149"/>
      <c r="BJ90" s="149"/>
      <c r="BK90" s="149"/>
      <c r="BL90" s="149"/>
      <c r="BM90" s="149"/>
      <c r="BN90" s="149"/>
      <c r="BO90" s="149"/>
      <c r="BP90" s="149">
        <v>14.041475798381281</v>
      </c>
      <c r="BQ90" s="149">
        <f t="shared" ca="1" si="7"/>
        <v>13.799736743038105</v>
      </c>
      <c r="BR90" s="149">
        <v>21.666800784376786</v>
      </c>
      <c r="BS90" s="149">
        <v>21.292390754499852</v>
      </c>
      <c r="BT90" s="149">
        <f t="shared" ca="1" si="6"/>
        <v>688.01769243888589</v>
      </c>
      <c r="BU90" s="153">
        <v>27279.095470285658</v>
      </c>
      <c r="BV90" s="149">
        <f t="shared" ca="1" si="8"/>
        <v>2.8848062640649728E-2</v>
      </c>
      <c r="BW90" s="1"/>
    </row>
    <row r="91" spans="1:75" x14ac:dyDescent="0.25">
      <c r="A91" s="149">
        <f t="shared" si="9"/>
        <v>90</v>
      </c>
      <c r="B91" s="150" t="s">
        <v>147</v>
      </c>
      <c r="C91" s="151">
        <v>0.45833333333333331</v>
      </c>
      <c r="D91" s="149" t="s">
        <v>142</v>
      </c>
      <c r="E91" s="149" t="s">
        <v>143</v>
      </c>
      <c r="F91" s="149" t="s">
        <v>144</v>
      </c>
      <c r="G91" s="149">
        <v>123456</v>
      </c>
      <c r="H91" s="149">
        <v>4</v>
      </c>
      <c r="I91" s="149">
        <v>29250</v>
      </c>
      <c r="J91" s="149" t="s">
        <v>137</v>
      </c>
      <c r="K91" s="149" t="s">
        <v>83</v>
      </c>
      <c r="L91" s="149" t="s">
        <v>81</v>
      </c>
      <c r="M91" s="149">
        <v>3</v>
      </c>
      <c r="N91" s="149">
        <v>2000</v>
      </c>
      <c r="O91" s="149">
        <v>2.1</v>
      </c>
      <c r="P91" s="149" t="s">
        <v>75</v>
      </c>
      <c r="Q91" s="149">
        <v>2.16E-5</v>
      </c>
      <c r="R91" s="149">
        <v>1965000</v>
      </c>
      <c r="S91" s="149"/>
      <c r="T91" s="152"/>
      <c r="U91" s="149"/>
      <c r="V91" s="152"/>
      <c r="W91" s="149"/>
      <c r="X91" s="149"/>
      <c r="Y91" s="149"/>
      <c r="Z91" s="149"/>
      <c r="AA91" s="149"/>
      <c r="AB91" s="149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  <c r="BB91" s="149"/>
      <c r="BC91" s="149"/>
      <c r="BD91" s="149"/>
      <c r="BE91" s="149"/>
      <c r="BF91" s="149"/>
      <c r="BG91" s="149"/>
      <c r="BH91" s="149"/>
      <c r="BI91" s="149"/>
      <c r="BJ91" s="149"/>
      <c r="BK91" s="149"/>
      <c r="BL91" s="149"/>
      <c r="BM91" s="149"/>
      <c r="BN91" s="149"/>
      <c r="BO91" s="149"/>
      <c r="BP91" s="149">
        <v>13.569087066775534</v>
      </c>
      <c r="BQ91" s="149">
        <f t="shared" ca="1" si="7"/>
        <v>13.503848055489533</v>
      </c>
      <c r="BR91" s="149">
        <v>23.603928440849874</v>
      </c>
      <c r="BS91" s="149">
        <v>23.390606340046663</v>
      </c>
      <c r="BT91" s="149">
        <f t="shared" ca="1" si="6"/>
        <v>734.39871134426994</v>
      </c>
      <c r="BU91" s="153">
        <v>28300.910517374952</v>
      </c>
      <c r="BV91" s="149">
        <f t="shared" ca="1" si="8"/>
        <v>2.8798771437394649E-2</v>
      </c>
      <c r="BW91" s="1"/>
    </row>
    <row r="92" spans="1:75" x14ac:dyDescent="0.25">
      <c r="A92" s="149">
        <f t="shared" si="9"/>
        <v>91</v>
      </c>
      <c r="B92" s="150" t="s">
        <v>147</v>
      </c>
      <c r="C92" s="151">
        <v>0.45833333333333331</v>
      </c>
      <c r="D92" s="149" t="s">
        <v>142</v>
      </c>
      <c r="E92" s="149" t="s">
        <v>143</v>
      </c>
      <c r="F92" s="149" t="s">
        <v>144</v>
      </c>
      <c r="G92" s="149">
        <v>123456</v>
      </c>
      <c r="H92" s="149">
        <v>4</v>
      </c>
      <c r="I92" s="149">
        <v>29250</v>
      </c>
      <c r="J92" s="149" t="s">
        <v>137</v>
      </c>
      <c r="K92" s="149" t="s">
        <v>83</v>
      </c>
      <c r="L92" s="149" t="s">
        <v>81</v>
      </c>
      <c r="M92" s="149">
        <v>3</v>
      </c>
      <c r="N92" s="149">
        <v>2000</v>
      </c>
      <c r="O92" s="149">
        <v>2.1</v>
      </c>
      <c r="P92" s="149" t="s">
        <v>75</v>
      </c>
      <c r="Q92" s="149">
        <v>2.16E-5</v>
      </c>
      <c r="R92" s="149">
        <v>1965000</v>
      </c>
      <c r="S92" s="149"/>
      <c r="T92" s="152"/>
      <c r="U92" s="149"/>
      <c r="V92" s="152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  <c r="BB92" s="149"/>
      <c r="BC92" s="149"/>
      <c r="BD92" s="149"/>
      <c r="BE92" s="149"/>
      <c r="BF92" s="149"/>
      <c r="BG92" s="149"/>
      <c r="BH92" s="149"/>
      <c r="BI92" s="149"/>
      <c r="BJ92" s="149"/>
      <c r="BK92" s="149"/>
      <c r="BL92" s="149"/>
      <c r="BM92" s="149"/>
      <c r="BN92" s="149"/>
      <c r="BO92" s="149"/>
      <c r="BP92" s="149">
        <v>12.484954642565535</v>
      </c>
      <c r="BQ92" s="149">
        <f t="shared" ca="1" si="7"/>
        <v>12.350849962220741</v>
      </c>
      <c r="BR92" s="149">
        <v>23.489092347895966</v>
      </c>
      <c r="BS92" s="149">
        <v>23.040623699391833</v>
      </c>
      <c r="BT92" s="149">
        <f t="shared" ca="1" si="6"/>
        <v>634.10133646350141</v>
      </c>
      <c r="BU92" s="153">
        <v>27325.20598990536</v>
      </c>
      <c r="BV92" s="149">
        <f t="shared" ca="1" si="8"/>
        <v>5.0584372018675858E-3</v>
      </c>
      <c r="BW92" s="1"/>
    </row>
    <row r="93" spans="1:75" x14ac:dyDescent="0.25">
      <c r="A93" s="149">
        <f t="shared" si="9"/>
        <v>92</v>
      </c>
      <c r="B93" s="150" t="s">
        <v>147</v>
      </c>
      <c r="C93" s="151">
        <v>0.45833333333333331</v>
      </c>
      <c r="D93" s="149" t="s">
        <v>142</v>
      </c>
      <c r="E93" s="149" t="s">
        <v>143</v>
      </c>
      <c r="F93" s="149" t="s">
        <v>144</v>
      </c>
      <c r="G93" s="149">
        <v>123821</v>
      </c>
      <c r="H93" s="149">
        <v>4</v>
      </c>
      <c r="I93" s="149">
        <v>28045</v>
      </c>
      <c r="J93" s="149" t="s">
        <v>145</v>
      </c>
      <c r="K93" s="149" t="s">
        <v>83</v>
      </c>
      <c r="L93" s="149" t="s">
        <v>81</v>
      </c>
      <c r="M93" s="149">
        <v>3</v>
      </c>
      <c r="N93" s="149">
        <v>2000</v>
      </c>
      <c r="O93" s="149">
        <v>2.1</v>
      </c>
      <c r="P93" s="149" t="s">
        <v>75</v>
      </c>
      <c r="Q93" s="149">
        <v>2.16E-5</v>
      </c>
      <c r="R93" s="149">
        <v>1965000</v>
      </c>
      <c r="S93" s="149"/>
      <c r="T93" s="152"/>
      <c r="U93" s="149"/>
      <c r="V93" s="152"/>
      <c r="W93" s="149"/>
      <c r="X93" s="149"/>
      <c r="Y93" s="149"/>
      <c r="Z93" s="149"/>
      <c r="AA93" s="149"/>
      <c r="AB93" s="149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  <c r="BB93" s="149"/>
      <c r="BC93" s="149"/>
      <c r="BD93" s="149"/>
      <c r="BE93" s="149"/>
      <c r="BF93" s="149"/>
      <c r="BG93" s="149"/>
      <c r="BH93" s="149"/>
      <c r="BI93" s="149"/>
      <c r="BJ93" s="149"/>
      <c r="BK93" s="149"/>
      <c r="BL93" s="149"/>
      <c r="BM93" s="149"/>
      <c r="BN93" s="149"/>
      <c r="BO93" s="149"/>
      <c r="BP93" s="149">
        <v>14.666321820390158</v>
      </c>
      <c r="BQ93" s="149">
        <f t="shared" ca="1" si="7"/>
        <v>14.584124600279505</v>
      </c>
      <c r="BR93" s="149">
        <v>22.83633026770088</v>
      </c>
      <c r="BS93" s="149">
        <v>22.81110352811487</v>
      </c>
      <c r="BT93" s="149">
        <f t="shared" ca="1" si="6"/>
        <v>779.0935764371859</v>
      </c>
      <c r="BU93" s="153">
        <v>28109.951526456196</v>
      </c>
      <c r="BV93" s="149">
        <f t="shared" ca="1" si="8"/>
        <v>2.7838750085717994E-2</v>
      </c>
      <c r="BW93" s="1"/>
    </row>
    <row r="94" spans="1:75" x14ac:dyDescent="0.25">
      <c r="A94" s="149">
        <f t="shared" si="9"/>
        <v>93</v>
      </c>
      <c r="B94" s="150" t="s">
        <v>147</v>
      </c>
      <c r="C94" s="151">
        <v>0.45833333333333331</v>
      </c>
      <c r="D94" s="149" t="s">
        <v>142</v>
      </c>
      <c r="E94" s="149" t="s">
        <v>143</v>
      </c>
      <c r="F94" s="149" t="s">
        <v>144</v>
      </c>
      <c r="G94" s="149">
        <v>123821</v>
      </c>
      <c r="H94" s="149">
        <v>4</v>
      </c>
      <c r="I94" s="149">
        <v>28045</v>
      </c>
      <c r="J94" s="149" t="s">
        <v>145</v>
      </c>
      <c r="K94" s="149" t="s">
        <v>83</v>
      </c>
      <c r="L94" s="149" t="s">
        <v>81</v>
      </c>
      <c r="M94" s="149">
        <v>3</v>
      </c>
      <c r="N94" s="149">
        <v>2000</v>
      </c>
      <c r="O94" s="149">
        <v>2.1</v>
      </c>
      <c r="P94" s="149" t="s">
        <v>75</v>
      </c>
      <c r="Q94" s="149">
        <v>2.16E-5</v>
      </c>
      <c r="R94" s="149">
        <v>1965000</v>
      </c>
      <c r="S94" s="149"/>
      <c r="T94" s="152"/>
      <c r="U94" s="149"/>
      <c r="V94" s="152"/>
      <c r="W94" s="149"/>
      <c r="X94" s="149"/>
      <c r="Y94" s="149"/>
      <c r="Z94" s="149"/>
      <c r="AA94" s="149"/>
      <c r="AB94" s="149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  <c r="BB94" s="149"/>
      <c r="BC94" s="149"/>
      <c r="BD94" s="149"/>
      <c r="BE94" s="149"/>
      <c r="BF94" s="149"/>
      <c r="BG94" s="149"/>
      <c r="BH94" s="149"/>
      <c r="BI94" s="149"/>
      <c r="BJ94" s="149"/>
      <c r="BK94" s="149"/>
      <c r="BL94" s="149"/>
      <c r="BM94" s="149"/>
      <c r="BN94" s="149"/>
      <c r="BO94" s="149"/>
      <c r="BP94" s="149">
        <v>13.134046695059078</v>
      </c>
      <c r="BQ94" s="149">
        <f t="shared" ca="1" si="7"/>
        <v>12.864805008594727</v>
      </c>
      <c r="BR94" s="149">
        <v>21.533435878907071</v>
      </c>
      <c r="BS94" s="149">
        <v>21.355460617804543</v>
      </c>
      <c r="BT94" s="149">
        <f t="shared" ca="1" si="6"/>
        <v>637.36067447922971</v>
      </c>
      <c r="BU94" s="153">
        <v>29502.941132260657</v>
      </c>
      <c r="BV94" s="149">
        <f t="shared" ca="1" si="8"/>
        <v>1.9415386109612548E-2</v>
      </c>
      <c r="BW94" s="1"/>
    </row>
    <row r="95" spans="1:75" x14ac:dyDescent="0.25">
      <c r="A95" s="149">
        <f t="shared" si="9"/>
        <v>94</v>
      </c>
      <c r="B95" s="150" t="s">
        <v>147</v>
      </c>
      <c r="C95" s="151">
        <v>0.45833333333333331</v>
      </c>
      <c r="D95" s="149" t="s">
        <v>142</v>
      </c>
      <c r="E95" s="149" t="s">
        <v>143</v>
      </c>
      <c r="F95" s="149" t="s">
        <v>144</v>
      </c>
      <c r="G95" s="149">
        <v>123456</v>
      </c>
      <c r="H95" s="149">
        <v>4</v>
      </c>
      <c r="I95" s="149">
        <v>29250</v>
      </c>
      <c r="J95" s="149" t="s">
        <v>137</v>
      </c>
      <c r="K95" s="149" t="s">
        <v>83</v>
      </c>
      <c r="L95" s="149" t="s">
        <v>81</v>
      </c>
      <c r="M95" s="149">
        <v>3</v>
      </c>
      <c r="N95" s="149">
        <v>2000</v>
      </c>
      <c r="O95" s="149">
        <v>2.1</v>
      </c>
      <c r="P95" s="149" t="s">
        <v>75</v>
      </c>
      <c r="Q95" s="149">
        <v>2.16E-5</v>
      </c>
      <c r="R95" s="149">
        <v>1965000</v>
      </c>
      <c r="S95" s="149"/>
      <c r="T95" s="152"/>
      <c r="U95" s="149"/>
      <c r="V95" s="152"/>
      <c r="W95" s="149"/>
      <c r="X95" s="149"/>
      <c r="Y95" s="149"/>
      <c r="Z95" s="149"/>
      <c r="AA95" s="149"/>
      <c r="AB95" s="149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  <c r="BB95" s="149"/>
      <c r="BC95" s="149"/>
      <c r="BD95" s="149"/>
      <c r="BE95" s="149"/>
      <c r="BF95" s="149"/>
      <c r="BG95" s="149"/>
      <c r="BH95" s="149"/>
      <c r="BI95" s="149"/>
      <c r="BJ95" s="149"/>
      <c r="BK95" s="149"/>
      <c r="BL95" s="149"/>
      <c r="BM95" s="149"/>
      <c r="BN95" s="149"/>
      <c r="BO95" s="149"/>
      <c r="BP95" s="149">
        <v>13.474249193844104</v>
      </c>
      <c r="BQ95" s="149">
        <f t="shared" ca="1" si="7"/>
        <v>13.035451467010487</v>
      </c>
      <c r="BR95" s="149">
        <v>21.553719532734089</v>
      </c>
      <c r="BS95" s="149">
        <v>21.093046065578154</v>
      </c>
      <c r="BT95" s="149">
        <f t="shared" ca="1" si="6"/>
        <v>650.35495856207081</v>
      </c>
      <c r="BU95" s="153">
        <v>27501.839899969495</v>
      </c>
      <c r="BV95" s="149">
        <f t="shared" ca="1" si="8"/>
        <v>6.0738400192475069E-3</v>
      </c>
      <c r="BW95" s="1"/>
    </row>
    <row r="96" spans="1:75" x14ac:dyDescent="0.25">
      <c r="A96" s="149">
        <f t="shared" si="9"/>
        <v>95</v>
      </c>
      <c r="B96" s="150" t="s">
        <v>147</v>
      </c>
      <c r="C96" s="151">
        <v>0.45833333333333331</v>
      </c>
      <c r="D96" s="149" t="s">
        <v>142</v>
      </c>
      <c r="E96" s="149" t="s">
        <v>143</v>
      </c>
      <c r="F96" s="149" t="s">
        <v>144</v>
      </c>
      <c r="G96" s="149">
        <v>123456</v>
      </c>
      <c r="H96" s="149">
        <v>4</v>
      </c>
      <c r="I96" s="149">
        <v>29250</v>
      </c>
      <c r="J96" s="149" t="s">
        <v>137</v>
      </c>
      <c r="K96" s="149" t="s">
        <v>83</v>
      </c>
      <c r="L96" s="149" t="s">
        <v>81</v>
      </c>
      <c r="M96" s="149">
        <v>3</v>
      </c>
      <c r="N96" s="149">
        <v>2000</v>
      </c>
      <c r="O96" s="149">
        <v>2.1</v>
      </c>
      <c r="P96" s="149" t="s">
        <v>75</v>
      </c>
      <c r="Q96" s="149">
        <v>2.16E-5</v>
      </c>
      <c r="R96" s="149">
        <v>1965000</v>
      </c>
      <c r="S96" s="149"/>
      <c r="T96" s="152"/>
      <c r="U96" s="149"/>
      <c r="V96" s="152"/>
      <c r="W96" s="149"/>
      <c r="X96" s="149"/>
      <c r="Y96" s="149"/>
      <c r="Z96" s="149"/>
      <c r="AA96" s="149"/>
      <c r="AB96" s="149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  <c r="BB96" s="149"/>
      <c r="BC96" s="149"/>
      <c r="BD96" s="149"/>
      <c r="BE96" s="149"/>
      <c r="BF96" s="149"/>
      <c r="BG96" s="149"/>
      <c r="BH96" s="149"/>
      <c r="BI96" s="149"/>
      <c r="BJ96" s="149"/>
      <c r="BK96" s="149"/>
      <c r="BL96" s="149"/>
      <c r="BM96" s="149"/>
      <c r="BN96" s="149"/>
      <c r="BO96" s="149"/>
      <c r="BP96" s="149">
        <v>14.550984472811322</v>
      </c>
      <c r="BQ96" s="149">
        <f t="shared" ca="1" si="7"/>
        <v>14.153766780329729</v>
      </c>
      <c r="BR96" s="149">
        <v>22.172063874786264</v>
      </c>
      <c r="BS96" s="149">
        <v>21.982531620218754</v>
      </c>
      <c r="BT96" s="149">
        <f t="shared" ca="1" si="6"/>
        <v>736.7410010200598</v>
      </c>
      <c r="BU96" s="153">
        <v>28725.408870523457</v>
      </c>
      <c r="BV96" s="149">
        <f t="shared" ca="1" si="8"/>
        <v>2.0024575494436286E-2</v>
      </c>
      <c r="BW96" s="1"/>
    </row>
    <row r="97" spans="1:75" x14ac:dyDescent="0.25">
      <c r="A97" s="149">
        <f t="shared" si="9"/>
        <v>96</v>
      </c>
      <c r="B97" s="150" t="s">
        <v>147</v>
      </c>
      <c r="C97" s="151">
        <v>0.45833333333333331</v>
      </c>
      <c r="D97" s="149" t="s">
        <v>142</v>
      </c>
      <c r="E97" s="149" t="s">
        <v>143</v>
      </c>
      <c r="F97" s="149" t="s">
        <v>144</v>
      </c>
      <c r="G97" s="149">
        <v>123821</v>
      </c>
      <c r="H97" s="149">
        <v>4</v>
      </c>
      <c r="I97" s="149">
        <v>28045</v>
      </c>
      <c r="J97" s="149" t="s">
        <v>145</v>
      </c>
      <c r="K97" s="149" t="s">
        <v>83</v>
      </c>
      <c r="L97" s="149" t="s">
        <v>81</v>
      </c>
      <c r="M97" s="149">
        <v>3</v>
      </c>
      <c r="N97" s="149">
        <v>2000</v>
      </c>
      <c r="O97" s="149">
        <v>2.1</v>
      </c>
      <c r="P97" s="149" t="s">
        <v>75</v>
      </c>
      <c r="Q97" s="149">
        <v>2.16E-5</v>
      </c>
      <c r="R97" s="149">
        <v>1965000</v>
      </c>
      <c r="S97" s="149"/>
      <c r="T97" s="152"/>
      <c r="U97" s="149"/>
      <c r="V97" s="152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>
        <v>14.537822193536018</v>
      </c>
      <c r="BQ97" s="149">
        <f t="shared" ca="1" si="7"/>
        <v>14.305787013438104</v>
      </c>
      <c r="BR97" s="149">
        <v>19.108660758839573</v>
      </c>
      <c r="BS97" s="149">
        <v>19.056114909842098</v>
      </c>
      <c r="BT97" s="149">
        <f t="shared" ca="1" si="6"/>
        <v>697.9015080965022</v>
      </c>
      <c r="BU97" s="153">
        <v>27426.998351267943</v>
      </c>
      <c r="BV97" s="149">
        <f t="shared" ca="1" si="8"/>
        <v>9.4840551793608958E-3</v>
      </c>
      <c r="BW97" s="1"/>
    </row>
    <row r="98" spans="1:75" x14ac:dyDescent="0.25">
      <c r="A98" s="149">
        <f t="shared" si="9"/>
        <v>97</v>
      </c>
      <c r="B98" s="150" t="s">
        <v>147</v>
      </c>
      <c r="C98" s="151">
        <v>0.45833333333333331</v>
      </c>
      <c r="D98" s="149" t="s">
        <v>142</v>
      </c>
      <c r="E98" s="149" t="s">
        <v>143</v>
      </c>
      <c r="F98" s="149" t="s">
        <v>144</v>
      </c>
      <c r="G98" s="149">
        <v>123821</v>
      </c>
      <c r="H98" s="149">
        <v>4</v>
      </c>
      <c r="I98" s="149">
        <v>28045</v>
      </c>
      <c r="J98" s="149" t="s">
        <v>145</v>
      </c>
      <c r="K98" s="149" t="s">
        <v>83</v>
      </c>
      <c r="L98" s="149" t="s">
        <v>81</v>
      </c>
      <c r="M98" s="149">
        <v>3</v>
      </c>
      <c r="N98" s="149">
        <v>2000</v>
      </c>
      <c r="O98" s="149">
        <v>2.1</v>
      </c>
      <c r="P98" s="149" t="s">
        <v>75</v>
      </c>
      <c r="Q98" s="149">
        <v>2.16E-5</v>
      </c>
      <c r="R98" s="149">
        <v>1965000</v>
      </c>
      <c r="S98" s="149"/>
      <c r="T98" s="152"/>
      <c r="U98" s="149"/>
      <c r="V98" s="152"/>
      <c r="W98" s="149"/>
      <c r="X98" s="149"/>
      <c r="Y98" s="149"/>
      <c r="Z98" s="149"/>
      <c r="AA98" s="149"/>
      <c r="AB98" s="149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  <c r="BB98" s="149"/>
      <c r="BC98" s="149"/>
      <c r="BD98" s="149"/>
      <c r="BE98" s="149"/>
      <c r="BF98" s="149"/>
      <c r="BG98" s="149"/>
      <c r="BH98" s="149"/>
      <c r="BI98" s="149"/>
      <c r="BJ98" s="149"/>
      <c r="BK98" s="149"/>
      <c r="BL98" s="149"/>
      <c r="BM98" s="149"/>
      <c r="BN98" s="149"/>
      <c r="BO98" s="149"/>
      <c r="BP98" s="149">
        <v>14.79982380826735</v>
      </c>
      <c r="BQ98" s="149">
        <f t="shared" ca="1" si="7"/>
        <v>14.752578238506345</v>
      </c>
      <c r="BR98" s="149">
        <v>22.398293471518585</v>
      </c>
      <c r="BS98" s="149">
        <v>21.979598526870681</v>
      </c>
      <c r="BT98" s="149">
        <f t="shared" ca="1" si="6"/>
        <v>692.65982416752081</v>
      </c>
      <c r="BU98" s="153">
        <v>26833.731317236703</v>
      </c>
      <c r="BV98" s="149">
        <f t="shared" ca="1" si="8"/>
        <v>2.585976343286827E-2</v>
      </c>
      <c r="BW98" s="1"/>
    </row>
    <row r="99" spans="1:75" x14ac:dyDescent="0.25">
      <c r="A99" s="149">
        <f t="shared" si="9"/>
        <v>98</v>
      </c>
      <c r="B99" s="150" t="s">
        <v>147</v>
      </c>
      <c r="C99" s="151">
        <v>0.45833333333333331</v>
      </c>
      <c r="D99" s="149" t="s">
        <v>142</v>
      </c>
      <c r="E99" s="149" t="s">
        <v>143</v>
      </c>
      <c r="F99" s="149" t="s">
        <v>144</v>
      </c>
      <c r="G99" s="149">
        <v>123456</v>
      </c>
      <c r="H99" s="149">
        <v>4</v>
      </c>
      <c r="I99" s="149">
        <v>29250</v>
      </c>
      <c r="J99" s="149" t="s">
        <v>137</v>
      </c>
      <c r="K99" s="149" t="s">
        <v>83</v>
      </c>
      <c r="L99" s="149" t="s">
        <v>81</v>
      </c>
      <c r="M99" s="149">
        <v>3</v>
      </c>
      <c r="N99" s="149">
        <v>2000</v>
      </c>
      <c r="O99" s="149">
        <v>2.1</v>
      </c>
      <c r="P99" s="149" t="s">
        <v>75</v>
      </c>
      <c r="Q99" s="149">
        <v>2.16E-5</v>
      </c>
      <c r="R99" s="149">
        <v>1965000</v>
      </c>
      <c r="S99" s="149"/>
      <c r="T99" s="152"/>
      <c r="U99" s="149"/>
      <c r="V99" s="152"/>
      <c r="W99" s="149"/>
      <c r="X99" s="149"/>
      <c r="Y99" s="149"/>
      <c r="Z99" s="149"/>
      <c r="AA99" s="149"/>
      <c r="AB99" s="149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  <c r="BB99" s="149"/>
      <c r="BC99" s="149"/>
      <c r="BD99" s="149"/>
      <c r="BE99" s="149"/>
      <c r="BF99" s="149"/>
      <c r="BG99" s="149"/>
      <c r="BH99" s="149"/>
      <c r="BI99" s="149"/>
      <c r="BJ99" s="149"/>
      <c r="BK99" s="149"/>
      <c r="BL99" s="149"/>
      <c r="BM99" s="149"/>
      <c r="BN99" s="149"/>
      <c r="BO99" s="149"/>
      <c r="BP99" s="149">
        <v>12.554670638161516</v>
      </c>
      <c r="BQ99" s="149">
        <f t="shared" ca="1" si="7"/>
        <v>12.516653392505336</v>
      </c>
      <c r="BR99" s="149">
        <v>22.45794837941067</v>
      </c>
      <c r="BS99" s="149">
        <v>22.016086870748705</v>
      </c>
      <c r="BT99" s="149">
        <f t="shared" ca="1" si="6"/>
        <v>759.20261108458817</v>
      </c>
      <c r="BU99" s="153">
        <v>28677.923751180642</v>
      </c>
      <c r="BV99" s="149">
        <f t="shared" ca="1" si="8"/>
        <v>2.667387356503961E-2</v>
      </c>
      <c r="BW99" s="1"/>
    </row>
    <row r="100" spans="1:75" x14ac:dyDescent="0.25">
      <c r="A100" s="149">
        <f t="shared" si="9"/>
        <v>99</v>
      </c>
      <c r="B100" s="150" t="s">
        <v>147</v>
      </c>
      <c r="C100" s="151">
        <v>0.45833333333333331</v>
      </c>
      <c r="D100" s="149" t="s">
        <v>142</v>
      </c>
      <c r="E100" s="149" t="s">
        <v>143</v>
      </c>
      <c r="F100" s="149" t="s">
        <v>144</v>
      </c>
      <c r="G100" s="149">
        <v>123456</v>
      </c>
      <c r="H100" s="149">
        <v>4</v>
      </c>
      <c r="I100" s="149">
        <v>29250</v>
      </c>
      <c r="J100" s="149" t="s">
        <v>137</v>
      </c>
      <c r="K100" s="149" t="s">
        <v>83</v>
      </c>
      <c r="L100" s="149" t="s">
        <v>81</v>
      </c>
      <c r="M100" s="149">
        <v>3</v>
      </c>
      <c r="N100" s="149">
        <v>2000</v>
      </c>
      <c r="O100" s="149">
        <v>2.1</v>
      </c>
      <c r="P100" s="149" t="s">
        <v>75</v>
      </c>
      <c r="Q100" s="149">
        <v>2.16E-5</v>
      </c>
      <c r="R100" s="149">
        <v>1965000</v>
      </c>
      <c r="S100" s="149"/>
      <c r="T100" s="152"/>
      <c r="U100" s="149"/>
      <c r="V100" s="152"/>
      <c r="W100" s="149"/>
      <c r="X100" s="149"/>
      <c r="Y100" s="149"/>
      <c r="Z100" s="149"/>
      <c r="AA100" s="149"/>
      <c r="AB100" s="149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  <c r="BB100" s="149"/>
      <c r="BC100" s="149"/>
      <c r="BD100" s="149"/>
      <c r="BE100" s="149"/>
      <c r="BF100" s="149"/>
      <c r="BG100" s="149"/>
      <c r="BH100" s="149"/>
      <c r="BI100" s="149"/>
      <c r="BJ100" s="149"/>
      <c r="BK100" s="149"/>
      <c r="BL100" s="149"/>
      <c r="BM100" s="149"/>
      <c r="BN100" s="149"/>
      <c r="BO100" s="149"/>
      <c r="BP100" s="149">
        <v>13.662045850862679</v>
      </c>
      <c r="BQ100" s="149">
        <f t="shared" ca="1" si="7"/>
        <v>13.329787309899221</v>
      </c>
      <c r="BR100" s="149">
        <v>19.001720070857228</v>
      </c>
      <c r="BS100" s="149">
        <v>18.502563983625262</v>
      </c>
      <c r="BT100" s="149">
        <f t="shared" ca="1" si="6"/>
        <v>665.85517773122388</v>
      </c>
      <c r="BU100" s="153">
        <v>26822.872794780535</v>
      </c>
      <c r="BV100" s="149">
        <f t="shared" ca="1" si="8"/>
        <v>1.919906632247969E-2</v>
      </c>
      <c r="BW100" s="1"/>
    </row>
    <row r="101" spans="1:75" x14ac:dyDescent="0.25">
      <c r="A101" s="149">
        <f t="shared" si="9"/>
        <v>100</v>
      </c>
      <c r="B101" s="150" t="s">
        <v>147</v>
      </c>
      <c r="C101" s="151">
        <v>0.45833333333333331</v>
      </c>
      <c r="D101" s="149" t="s">
        <v>142</v>
      </c>
      <c r="E101" s="149" t="s">
        <v>143</v>
      </c>
      <c r="F101" s="149" t="s">
        <v>144</v>
      </c>
      <c r="G101" s="149">
        <v>123821</v>
      </c>
      <c r="H101" s="149">
        <v>4</v>
      </c>
      <c r="I101" s="149">
        <v>28045</v>
      </c>
      <c r="J101" s="149" t="s">
        <v>145</v>
      </c>
      <c r="K101" s="149" t="s">
        <v>83</v>
      </c>
      <c r="L101" s="149" t="s">
        <v>81</v>
      </c>
      <c r="M101" s="149">
        <v>3</v>
      </c>
      <c r="N101" s="149">
        <v>2000</v>
      </c>
      <c r="O101" s="149">
        <v>2.1</v>
      </c>
      <c r="P101" s="149" t="s">
        <v>75</v>
      </c>
      <c r="Q101" s="149">
        <v>2.16E-5</v>
      </c>
      <c r="R101" s="149">
        <v>1965000</v>
      </c>
      <c r="S101" s="149"/>
      <c r="T101" s="152"/>
      <c r="U101" s="149"/>
      <c r="V101" s="152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  <c r="BB101" s="149"/>
      <c r="BC101" s="149"/>
      <c r="BD101" s="149"/>
      <c r="BE101" s="149"/>
      <c r="BF101" s="149"/>
      <c r="BG101" s="149"/>
      <c r="BH101" s="149"/>
      <c r="BI101" s="149"/>
      <c r="BJ101" s="149"/>
      <c r="BK101" s="149"/>
      <c r="BL101" s="149"/>
      <c r="BM101" s="149"/>
      <c r="BN101" s="149"/>
      <c r="BO101" s="149"/>
      <c r="BP101" s="149">
        <v>12.170019416471034</v>
      </c>
      <c r="BQ101" s="149">
        <f t="shared" ca="1" si="7"/>
        <v>12.077993334733115</v>
      </c>
      <c r="BR101" s="149">
        <v>20.277340498226167</v>
      </c>
      <c r="BS101" s="149">
        <v>19.876523216266381</v>
      </c>
      <c r="BT101" s="149">
        <f t="shared" ca="1" si="6"/>
        <v>694.80761308760202</v>
      </c>
      <c r="BU101" s="153">
        <v>28937.4976458276</v>
      </c>
      <c r="BV101" s="149">
        <f t="shared" ca="1" si="8"/>
        <v>2.1278721340130487E-2</v>
      </c>
      <c r="BW101" s="1"/>
    </row>
    <row r="102" spans="1:75" x14ac:dyDescent="0.25">
      <c r="A102" s="149">
        <f t="shared" si="9"/>
        <v>101</v>
      </c>
      <c r="B102" s="150" t="s">
        <v>147</v>
      </c>
      <c r="C102" s="151">
        <v>0.45833333333333331</v>
      </c>
      <c r="D102" s="149" t="s">
        <v>142</v>
      </c>
      <c r="E102" s="149" t="s">
        <v>143</v>
      </c>
      <c r="F102" s="149" t="s">
        <v>144</v>
      </c>
      <c r="G102" s="149">
        <v>123821</v>
      </c>
      <c r="H102" s="149">
        <v>4</v>
      </c>
      <c r="I102" s="149">
        <v>28045</v>
      </c>
      <c r="J102" s="149" t="s">
        <v>145</v>
      </c>
      <c r="K102" s="149" t="s">
        <v>83</v>
      </c>
      <c r="L102" s="149" t="s">
        <v>81</v>
      </c>
      <c r="M102" s="149">
        <v>3</v>
      </c>
      <c r="N102" s="149">
        <v>2000</v>
      </c>
      <c r="O102" s="149">
        <v>2.1</v>
      </c>
      <c r="P102" s="149" t="s">
        <v>75</v>
      </c>
      <c r="Q102" s="149">
        <v>2.16E-5</v>
      </c>
      <c r="R102" s="149">
        <v>1965000</v>
      </c>
      <c r="S102" s="149"/>
      <c r="T102" s="152"/>
      <c r="U102" s="149"/>
      <c r="V102" s="152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49"/>
      <c r="BL102" s="149"/>
      <c r="BM102" s="149"/>
      <c r="BN102" s="149"/>
      <c r="BO102" s="149"/>
      <c r="BP102" s="149">
        <v>12.207523468244315</v>
      </c>
      <c r="BQ102" s="149">
        <f t="shared" ca="1" si="7"/>
        <v>12.122208811847823</v>
      </c>
      <c r="BR102" s="149">
        <v>23.969574753760192</v>
      </c>
      <c r="BS102" s="149">
        <v>23.650318806738888</v>
      </c>
      <c r="BT102" s="149">
        <f t="shared" ca="1" si="6"/>
        <v>725.73177592069237</v>
      </c>
      <c r="BU102" s="153">
        <v>29451.474759594472</v>
      </c>
      <c r="BV102" s="149">
        <f t="shared" ca="1" si="8"/>
        <v>2.3462937737958073E-2</v>
      </c>
      <c r="BW102" s="1"/>
    </row>
    <row r="103" spans="1:75" x14ac:dyDescent="0.25">
      <c r="A103" s="149">
        <f t="shared" si="9"/>
        <v>102</v>
      </c>
      <c r="B103" s="150" t="s">
        <v>147</v>
      </c>
      <c r="C103" s="151">
        <v>0.45833333333333331</v>
      </c>
      <c r="D103" s="149" t="s">
        <v>142</v>
      </c>
      <c r="E103" s="149" t="s">
        <v>143</v>
      </c>
      <c r="F103" s="149" t="s">
        <v>144</v>
      </c>
      <c r="G103" s="149">
        <v>123456</v>
      </c>
      <c r="H103" s="149">
        <v>4</v>
      </c>
      <c r="I103" s="149">
        <v>29250</v>
      </c>
      <c r="J103" s="149" t="s">
        <v>137</v>
      </c>
      <c r="K103" s="149" t="s">
        <v>83</v>
      </c>
      <c r="L103" s="149" t="s">
        <v>81</v>
      </c>
      <c r="M103" s="149">
        <v>3</v>
      </c>
      <c r="N103" s="149">
        <v>2000</v>
      </c>
      <c r="O103" s="149">
        <v>2.1</v>
      </c>
      <c r="P103" s="149" t="s">
        <v>75</v>
      </c>
      <c r="Q103" s="149">
        <v>2.16E-5</v>
      </c>
      <c r="R103" s="149">
        <v>1965000</v>
      </c>
      <c r="S103" s="149"/>
      <c r="T103" s="152"/>
      <c r="U103" s="149"/>
      <c r="V103" s="152"/>
      <c r="W103" s="149"/>
      <c r="X103" s="149"/>
      <c r="Y103" s="149"/>
      <c r="Z103" s="149"/>
      <c r="AA103" s="149"/>
      <c r="AB103" s="149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  <c r="BB103" s="149"/>
      <c r="BC103" s="149"/>
      <c r="BD103" s="149"/>
      <c r="BE103" s="149"/>
      <c r="BF103" s="149"/>
      <c r="BG103" s="149"/>
      <c r="BH103" s="149"/>
      <c r="BI103" s="149"/>
      <c r="BJ103" s="149"/>
      <c r="BK103" s="149"/>
      <c r="BL103" s="149"/>
      <c r="BM103" s="149"/>
      <c r="BN103" s="149"/>
      <c r="BO103" s="149"/>
      <c r="BP103" s="149">
        <v>13.211920885568901</v>
      </c>
      <c r="BQ103" s="149">
        <f t="shared" ca="1" si="7"/>
        <v>12.777075640203783</v>
      </c>
      <c r="BR103" s="149">
        <v>22.961907153270985</v>
      </c>
      <c r="BS103" s="149">
        <v>22.74467326385944</v>
      </c>
      <c r="BT103" s="149">
        <f t="shared" ca="1" si="6"/>
        <v>797.54677039770468</v>
      </c>
      <c r="BU103" s="153">
        <v>29764.5988810259</v>
      </c>
      <c r="BV103" s="149">
        <f t="shared" ca="1" si="8"/>
        <v>1.4522846656583552E-2</v>
      </c>
      <c r="BW103" s="1"/>
    </row>
    <row r="104" spans="1:75" x14ac:dyDescent="0.25">
      <c r="A104" s="149">
        <f t="shared" si="9"/>
        <v>103</v>
      </c>
      <c r="B104" s="150" t="s">
        <v>147</v>
      </c>
      <c r="C104" s="151">
        <v>0.45833333333333331</v>
      </c>
      <c r="D104" s="149" t="s">
        <v>142</v>
      </c>
      <c r="E104" s="149" t="s">
        <v>143</v>
      </c>
      <c r="F104" s="149" t="s">
        <v>144</v>
      </c>
      <c r="G104" s="149">
        <v>123456</v>
      </c>
      <c r="H104" s="149">
        <v>4</v>
      </c>
      <c r="I104" s="149">
        <v>29250</v>
      </c>
      <c r="J104" s="149" t="s">
        <v>137</v>
      </c>
      <c r="K104" s="149" t="s">
        <v>83</v>
      </c>
      <c r="L104" s="149" t="s">
        <v>81</v>
      </c>
      <c r="M104" s="149">
        <v>3</v>
      </c>
      <c r="N104" s="149">
        <v>2000</v>
      </c>
      <c r="O104" s="149">
        <v>2.1</v>
      </c>
      <c r="P104" s="149" t="s">
        <v>75</v>
      </c>
      <c r="Q104" s="149">
        <v>2.16E-5</v>
      </c>
      <c r="R104" s="149">
        <v>1965000</v>
      </c>
      <c r="S104" s="149"/>
      <c r="T104" s="152"/>
      <c r="U104" s="149"/>
      <c r="V104" s="152"/>
      <c r="W104" s="149"/>
      <c r="X104" s="149"/>
      <c r="Y104" s="149"/>
      <c r="Z104" s="149"/>
      <c r="AA104" s="149"/>
      <c r="AB104" s="149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  <c r="BB104" s="149"/>
      <c r="BC104" s="149"/>
      <c r="BD104" s="149"/>
      <c r="BE104" s="149"/>
      <c r="BF104" s="149"/>
      <c r="BG104" s="149"/>
      <c r="BH104" s="149"/>
      <c r="BI104" s="149"/>
      <c r="BJ104" s="149"/>
      <c r="BK104" s="149"/>
      <c r="BL104" s="149"/>
      <c r="BM104" s="149"/>
      <c r="BN104" s="149"/>
      <c r="BO104" s="149"/>
      <c r="BP104" s="149">
        <v>13.180084225430496</v>
      </c>
      <c r="BQ104" s="149">
        <f t="shared" ca="1" si="7"/>
        <v>13.067173985016376</v>
      </c>
      <c r="BR104" s="149">
        <v>24.067977582184071</v>
      </c>
      <c r="BS104" s="149">
        <v>23.644229017799042</v>
      </c>
      <c r="BT104" s="149">
        <f t="shared" ca="1" si="6"/>
        <v>664.13774749479853</v>
      </c>
      <c r="BU104" s="153">
        <v>26750.475237154798</v>
      </c>
      <c r="BV104" s="149">
        <f t="shared" ca="1" si="8"/>
        <v>2.9780233853072414E-2</v>
      </c>
      <c r="BW104" s="1"/>
    </row>
    <row r="105" spans="1:75" x14ac:dyDescent="0.25">
      <c r="A105" s="149">
        <f t="shared" si="9"/>
        <v>104</v>
      </c>
      <c r="B105" s="150" t="s">
        <v>147</v>
      </c>
      <c r="C105" s="151">
        <v>0.45833333333333331</v>
      </c>
      <c r="D105" s="149" t="s">
        <v>142</v>
      </c>
      <c r="E105" s="149" t="s">
        <v>143</v>
      </c>
      <c r="F105" s="149" t="s">
        <v>144</v>
      </c>
      <c r="G105" s="149">
        <v>123821</v>
      </c>
      <c r="H105" s="149">
        <v>4</v>
      </c>
      <c r="I105" s="149">
        <v>28045</v>
      </c>
      <c r="J105" s="149" t="s">
        <v>145</v>
      </c>
      <c r="K105" s="149" t="s">
        <v>83</v>
      </c>
      <c r="L105" s="149" t="s">
        <v>81</v>
      </c>
      <c r="M105" s="149">
        <v>3</v>
      </c>
      <c r="N105" s="149">
        <v>2000</v>
      </c>
      <c r="O105" s="149">
        <v>2.1</v>
      </c>
      <c r="P105" s="149" t="s">
        <v>75</v>
      </c>
      <c r="Q105" s="149">
        <v>2.16E-5</v>
      </c>
      <c r="R105" s="149">
        <v>1965000</v>
      </c>
      <c r="S105" s="149"/>
      <c r="T105" s="152"/>
      <c r="U105" s="149"/>
      <c r="V105" s="152"/>
      <c r="W105" s="149"/>
      <c r="X105" s="149"/>
      <c r="Y105" s="149"/>
      <c r="Z105" s="149"/>
      <c r="AA105" s="149"/>
      <c r="AB105" s="149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  <c r="BB105" s="149"/>
      <c r="BC105" s="149"/>
      <c r="BD105" s="149"/>
      <c r="BE105" s="149"/>
      <c r="BF105" s="149"/>
      <c r="BG105" s="149"/>
      <c r="BH105" s="149"/>
      <c r="BI105" s="149"/>
      <c r="BJ105" s="149"/>
      <c r="BK105" s="149"/>
      <c r="BL105" s="149"/>
      <c r="BM105" s="149"/>
      <c r="BN105" s="149"/>
      <c r="BO105" s="149"/>
      <c r="BP105" s="149">
        <v>14.424920101876447</v>
      </c>
      <c r="BQ105" s="149">
        <f t="shared" ca="1" si="7"/>
        <v>13.959029246831221</v>
      </c>
      <c r="BR105" s="149">
        <v>19.001921723689474</v>
      </c>
      <c r="BS105" s="149">
        <v>18.563780578884817</v>
      </c>
      <c r="BT105" s="149">
        <f t="shared" ca="1" si="6"/>
        <v>631.04145860330584</v>
      </c>
      <c r="BU105" s="153">
        <v>28008.710941880137</v>
      </c>
      <c r="BV105" s="149">
        <f t="shared" ca="1" si="8"/>
        <v>1.2667418616488256E-2</v>
      </c>
      <c r="BW105" s="1"/>
    </row>
    <row r="106" spans="1:75" x14ac:dyDescent="0.25">
      <c r="A106" s="149">
        <f t="shared" si="9"/>
        <v>105</v>
      </c>
      <c r="B106" s="150" t="s">
        <v>147</v>
      </c>
      <c r="C106" s="151">
        <v>0.45833333333333331</v>
      </c>
      <c r="D106" s="149" t="s">
        <v>142</v>
      </c>
      <c r="E106" s="149" t="s">
        <v>143</v>
      </c>
      <c r="F106" s="149" t="s">
        <v>144</v>
      </c>
      <c r="G106" s="149">
        <v>123821</v>
      </c>
      <c r="H106" s="149">
        <v>4</v>
      </c>
      <c r="I106" s="149">
        <v>28045</v>
      </c>
      <c r="J106" s="149" t="s">
        <v>145</v>
      </c>
      <c r="K106" s="149" t="s">
        <v>83</v>
      </c>
      <c r="L106" s="149" t="s">
        <v>81</v>
      </c>
      <c r="M106" s="149">
        <v>3</v>
      </c>
      <c r="N106" s="149">
        <v>2000</v>
      </c>
      <c r="O106" s="149">
        <v>2.1</v>
      </c>
      <c r="P106" s="149" t="s">
        <v>75</v>
      </c>
      <c r="Q106" s="149">
        <v>2.16E-5</v>
      </c>
      <c r="R106" s="149">
        <v>1965000</v>
      </c>
      <c r="S106" s="149"/>
      <c r="T106" s="152"/>
      <c r="U106" s="149"/>
      <c r="V106" s="152"/>
      <c r="W106" s="149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  <c r="BB106" s="149"/>
      <c r="BC106" s="149"/>
      <c r="BD106" s="149"/>
      <c r="BE106" s="149"/>
      <c r="BF106" s="149"/>
      <c r="BG106" s="149"/>
      <c r="BH106" s="149"/>
      <c r="BI106" s="149"/>
      <c r="BJ106" s="149"/>
      <c r="BK106" s="149"/>
      <c r="BL106" s="149"/>
      <c r="BM106" s="149"/>
      <c r="BN106" s="149"/>
      <c r="BO106" s="149"/>
      <c r="BP106" s="149">
        <v>14.877805282853123</v>
      </c>
      <c r="BQ106" s="149">
        <f t="shared" ca="1" si="7"/>
        <v>14.763870827154463</v>
      </c>
      <c r="BR106" s="149">
        <v>23.129094748881307</v>
      </c>
      <c r="BS106" s="149">
        <v>22.790835777692607</v>
      </c>
      <c r="BT106" s="149">
        <f t="shared" ca="1" si="6"/>
        <v>708.53500951470323</v>
      </c>
      <c r="BU106" s="153">
        <v>29415.605730531359</v>
      </c>
      <c r="BV106" s="149">
        <f t="shared" ca="1" si="8"/>
        <v>2.3235400762120089E-2</v>
      </c>
      <c r="BW106" s="1"/>
    </row>
    <row r="107" spans="1:75" x14ac:dyDescent="0.25">
      <c r="A107" s="149">
        <f t="shared" si="9"/>
        <v>106</v>
      </c>
      <c r="B107" s="150" t="s">
        <v>147</v>
      </c>
      <c r="C107" s="151">
        <v>0.45833333333333331</v>
      </c>
      <c r="D107" s="149" t="s">
        <v>142</v>
      </c>
      <c r="E107" s="149" t="s">
        <v>143</v>
      </c>
      <c r="F107" s="149" t="s">
        <v>144</v>
      </c>
      <c r="G107" s="149">
        <v>123456</v>
      </c>
      <c r="H107" s="149">
        <v>4</v>
      </c>
      <c r="I107" s="149">
        <v>29250</v>
      </c>
      <c r="J107" s="149" t="s">
        <v>137</v>
      </c>
      <c r="K107" s="149" t="s">
        <v>83</v>
      </c>
      <c r="L107" s="149" t="s">
        <v>81</v>
      </c>
      <c r="M107" s="149">
        <v>3</v>
      </c>
      <c r="N107" s="149">
        <v>2000</v>
      </c>
      <c r="O107" s="149">
        <v>2.1</v>
      </c>
      <c r="P107" s="149" t="s">
        <v>75</v>
      </c>
      <c r="Q107" s="149">
        <v>2.16E-5</v>
      </c>
      <c r="R107" s="149">
        <v>1965000</v>
      </c>
      <c r="S107" s="149"/>
      <c r="T107" s="152"/>
      <c r="U107" s="149"/>
      <c r="V107" s="152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49"/>
      <c r="BL107" s="149"/>
      <c r="BM107" s="149"/>
      <c r="BN107" s="149"/>
      <c r="BO107" s="149"/>
      <c r="BP107" s="149">
        <v>13.343381491392629</v>
      </c>
      <c r="BQ107" s="149">
        <f t="shared" ca="1" si="7"/>
        <v>13.183172418109312</v>
      </c>
      <c r="BR107" s="149">
        <v>24.192169930196695</v>
      </c>
      <c r="BS107" s="149">
        <v>23.984404710444267</v>
      </c>
      <c r="BT107" s="149">
        <f t="shared" ca="1" si="6"/>
        <v>783.36357595066409</v>
      </c>
      <c r="BU107" s="153">
        <v>29094.990147613931</v>
      </c>
      <c r="BV107" s="149">
        <f t="shared" ca="1" si="8"/>
        <v>1.4595317701563195E-2</v>
      </c>
      <c r="BW107" s="1"/>
    </row>
    <row r="108" spans="1:75" x14ac:dyDescent="0.25">
      <c r="A108" s="149">
        <f t="shared" si="9"/>
        <v>107</v>
      </c>
      <c r="B108" s="150" t="s">
        <v>147</v>
      </c>
      <c r="C108" s="151">
        <v>0.45833333333333331</v>
      </c>
      <c r="D108" s="149" t="s">
        <v>142</v>
      </c>
      <c r="E108" s="149" t="s">
        <v>143</v>
      </c>
      <c r="F108" s="149" t="s">
        <v>144</v>
      </c>
      <c r="G108" s="149">
        <v>123456</v>
      </c>
      <c r="H108" s="149">
        <v>4</v>
      </c>
      <c r="I108" s="149">
        <v>29250</v>
      </c>
      <c r="J108" s="149" t="s">
        <v>137</v>
      </c>
      <c r="K108" s="149" t="s">
        <v>83</v>
      </c>
      <c r="L108" s="149" t="s">
        <v>81</v>
      </c>
      <c r="M108" s="149">
        <v>3</v>
      </c>
      <c r="N108" s="149">
        <v>2000</v>
      </c>
      <c r="O108" s="149">
        <v>2.1</v>
      </c>
      <c r="P108" s="149" t="s">
        <v>75</v>
      </c>
      <c r="Q108" s="149">
        <v>2.16E-5</v>
      </c>
      <c r="R108" s="149">
        <v>1965000</v>
      </c>
      <c r="S108" s="149"/>
      <c r="T108" s="152"/>
      <c r="U108" s="149"/>
      <c r="V108" s="152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  <c r="BB108" s="149"/>
      <c r="BC108" s="149"/>
      <c r="BD108" s="149"/>
      <c r="BE108" s="149"/>
      <c r="BF108" s="149"/>
      <c r="BG108" s="149"/>
      <c r="BH108" s="149"/>
      <c r="BI108" s="149"/>
      <c r="BJ108" s="149"/>
      <c r="BK108" s="149"/>
      <c r="BL108" s="149"/>
      <c r="BM108" s="149"/>
      <c r="BN108" s="149"/>
      <c r="BO108" s="149"/>
      <c r="BP108" s="149">
        <v>13.600949603724873</v>
      </c>
      <c r="BQ108" s="149">
        <f t="shared" ca="1" si="7"/>
        <v>13.56151358438432</v>
      </c>
      <c r="BR108" s="149">
        <v>21.705944230860688</v>
      </c>
      <c r="BS108" s="149">
        <v>21.648678934016377</v>
      </c>
      <c r="BT108" s="149">
        <f t="shared" ca="1" si="6"/>
        <v>603.9898742841898</v>
      </c>
      <c r="BU108" s="153">
        <v>27551.250538820448</v>
      </c>
      <c r="BV108" s="149">
        <f t="shared" ca="1" si="8"/>
        <v>1.0343756620224895E-2</v>
      </c>
      <c r="BW108" s="1"/>
    </row>
    <row r="109" spans="1:75" x14ac:dyDescent="0.25">
      <c r="A109" s="149">
        <f t="shared" si="9"/>
        <v>108</v>
      </c>
      <c r="B109" s="150" t="s">
        <v>147</v>
      </c>
      <c r="C109" s="151">
        <v>0.45833333333333331</v>
      </c>
      <c r="D109" s="149" t="s">
        <v>142</v>
      </c>
      <c r="E109" s="149" t="s">
        <v>143</v>
      </c>
      <c r="F109" s="149" t="s">
        <v>144</v>
      </c>
      <c r="G109" s="149">
        <v>123821</v>
      </c>
      <c r="H109" s="149">
        <v>4</v>
      </c>
      <c r="I109" s="149">
        <v>28045</v>
      </c>
      <c r="J109" s="149" t="s">
        <v>145</v>
      </c>
      <c r="K109" s="149" t="s">
        <v>83</v>
      </c>
      <c r="L109" s="149" t="s">
        <v>81</v>
      </c>
      <c r="M109" s="149">
        <v>3</v>
      </c>
      <c r="N109" s="149">
        <v>2000</v>
      </c>
      <c r="O109" s="149">
        <v>2.1</v>
      </c>
      <c r="P109" s="149" t="s">
        <v>75</v>
      </c>
      <c r="Q109" s="149">
        <v>2.16E-5</v>
      </c>
      <c r="R109" s="149">
        <v>1965000</v>
      </c>
      <c r="S109" s="149"/>
      <c r="T109" s="152"/>
      <c r="U109" s="149"/>
      <c r="V109" s="152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49"/>
      <c r="BL109" s="149"/>
      <c r="BM109" s="149"/>
      <c r="BN109" s="149"/>
      <c r="BO109" s="149"/>
      <c r="BP109" s="149">
        <v>14.008162422740282</v>
      </c>
      <c r="BQ109" s="149">
        <f t="shared" ca="1" si="7"/>
        <v>13.556328021707104</v>
      </c>
      <c r="BR109" s="149">
        <v>22.451471735863066</v>
      </c>
      <c r="BS109" s="149">
        <v>22.031192527217648</v>
      </c>
      <c r="BT109" s="149">
        <f t="shared" ca="1" si="6"/>
        <v>730.25654072917825</v>
      </c>
      <c r="BU109" s="153">
        <v>27437.516307312508</v>
      </c>
      <c r="BV109" s="149">
        <f t="shared" ca="1" si="8"/>
        <v>1.4762755815703691E-2</v>
      </c>
      <c r="BW109" s="1"/>
    </row>
    <row r="110" spans="1:75" x14ac:dyDescent="0.25">
      <c r="A110" s="149">
        <f t="shared" si="9"/>
        <v>109</v>
      </c>
      <c r="B110" s="150" t="s">
        <v>147</v>
      </c>
      <c r="C110" s="151">
        <v>0.45833333333333331</v>
      </c>
      <c r="D110" s="149" t="s">
        <v>142</v>
      </c>
      <c r="E110" s="149" t="s">
        <v>143</v>
      </c>
      <c r="F110" s="149" t="s">
        <v>144</v>
      </c>
      <c r="G110" s="149">
        <v>123821</v>
      </c>
      <c r="H110" s="149">
        <v>4</v>
      </c>
      <c r="I110" s="149">
        <v>28045</v>
      </c>
      <c r="J110" s="149" t="s">
        <v>145</v>
      </c>
      <c r="K110" s="149" t="s">
        <v>83</v>
      </c>
      <c r="L110" s="149" t="s">
        <v>81</v>
      </c>
      <c r="M110" s="149">
        <v>3</v>
      </c>
      <c r="N110" s="149">
        <v>2000</v>
      </c>
      <c r="O110" s="149">
        <v>2.1</v>
      </c>
      <c r="P110" s="149" t="s">
        <v>75</v>
      </c>
      <c r="Q110" s="149">
        <v>2.16E-5</v>
      </c>
      <c r="R110" s="149">
        <v>1965000</v>
      </c>
      <c r="S110" s="149"/>
      <c r="T110" s="152"/>
      <c r="U110" s="149"/>
      <c r="V110" s="152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49"/>
      <c r="BL110" s="149"/>
      <c r="BM110" s="149"/>
      <c r="BN110" s="149"/>
      <c r="BO110" s="149"/>
      <c r="BP110" s="149">
        <v>13.902188758879518</v>
      </c>
      <c r="BQ110" s="149">
        <f t="shared" ca="1" si="7"/>
        <v>13.726072868607305</v>
      </c>
      <c r="BR110" s="149">
        <v>20.385311168766627</v>
      </c>
      <c r="BS110" s="149">
        <v>20.134129174855527</v>
      </c>
      <c r="BT110" s="149">
        <f t="shared" ca="1" si="6"/>
        <v>695.38597499737239</v>
      </c>
      <c r="BU110" s="153">
        <v>27703.726543565725</v>
      </c>
      <c r="BV110" s="149">
        <f t="shared" ca="1" si="8"/>
        <v>2.2017943983355021E-2</v>
      </c>
      <c r="BW110" s="1"/>
    </row>
    <row r="111" spans="1:75" x14ac:dyDescent="0.25">
      <c r="A111" s="149">
        <f t="shared" si="9"/>
        <v>110</v>
      </c>
      <c r="B111" s="150" t="s">
        <v>147</v>
      </c>
      <c r="C111" s="151">
        <v>0.45833333333333331</v>
      </c>
      <c r="D111" s="149" t="s">
        <v>142</v>
      </c>
      <c r="E111" s="149" t="s">
        <v>143</v>
      </c>
      <c r="F111" s="149" t="s">
        <v>144</v>
      </c>
      <c r="G111" s="149">
        <v>123456</v>
      </c>
      <c r="H111" s="149">
        <v>4</v>
      </c>
      <c r="I111" s="149">
        <v>29250</v>
      </c>
      <c r="J111" s="149" t="s">
        <v>137</v>
      </c>
      <c r="K111" s="149" t="s">
        <v>83</v>
      </c>
      <c r="L111" s="149" t="s">
        <v>81</v>
      </c>
      <c r="M111" s="149">
        <v>3</v>
      </c>
      <c r="N111" s="149">
        <v>2000</v>
      </c>
      <c r="O111" s="149">
        <v>2.1</v>
      </c>
      <c r="P111" s="149" t="s">
        <v>75</v>
      </c>
      <c r="Q111" s="149">
        <v>2.16E-5</v>
      </c>
      <c r="R111" s="149">
        <v>1965000</v>
      </c>
      <c r="S111" s="149"/>
      <c r="T111" s="152"/>
      <c r="U111" s="149"/>
      <c r="V111" s="152"/>
      <c r="W111" s="149"/>
      <c r="X111" s="149"/>
      <c r="Y111" s="149"/>
      <c r="Z111" s="149"/>
      <c r="AA111" s="149"/>
      <c r="AB111" s="149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  <c r="BB111" s="149"/>
      <c r="BC111" s="149"/>
      <c r="BD111" s="149"/>
      <c r="BE111" s="149"/>
      <c r="BF111" s="149"/>
      <c r="BG111" s="149"/>
      <c r="BH111" s="149"/>
      <c r="BI111" s="149"/>
      <c r="BJ111" s="149"/>
      <c r="BK111" s="149"/>
      <c r="BL111" s="149"/>
      <c r="BM111" s="149"/>
      <c r="BN111" s="149"/>
      <c r="BO111" s="149"/>
      <c r="BP111" s="149">
        <v>12.723477774618303</v>
      </c>
      <c r="BQ111" s="149">
        <f t="shared" ca="1" si="7"/>
        <v>12.54338777640559</v>
      </c>
      <c r="BR111" s="149">
        <v>20.482651525833713</v>
      </c>
      <c r="BS111" s="149">
        <v>19.99896591591996</v>
      </c>
      <c r="BT111" s="149">
        <f t="shared" ca="1" si="6"/>
        <v>611.63845258550236</v>
      </c>
      <c r="BU111" s="153">
        <v>28274.592843364317</v>
      </c>
      <c r="BV111" s="149">
        <f t="shared" ca="1" si="8"/>
        <v>2.9096656454438433E-2</v>
      </c>
      <c r="BW111" s="1"/>
    </row>
    <row r="112" spans="1:75" x14ac:dyDescent="0.25">
      <c r="A112" s="149">
        <f t="shared" si="9"/>
        <v>111</v>
      </c>
      <c r="B112" s="150" t="s">
        <v>147</v>
      </c>
      <c r="C112" s="151">
        <v>0.45833333333333331</v>
      </c>
      <c r="D112" s="149" t="s">
        <v>142</v>
      </c>
      <c r="E112" s="149" t="s">
        <v>143</v>
      </c>
      <c r="F112" s="149" t="s">
        <v>144</v>
      </c>
      <c r="G112" s="149">
        <v>123456</v>
      </c>
      <c r="H112" s="149">
        <v>4</v>
      </c>
      <c r="I112" s="149">
        <v>29250</v>
      </c>
      <c r="J112" s="149" t="s">
        <v>137</v>
      </c>
      <c r="K112" s="149" t="s">
        <v>83</v>
      </c>
      <c r="L112" s="149" t="s">
        <v>81</v>
      </c>
      <c r="M112" s="149">
        <v>3</v>
      </c>
      <c r="N112" s="149">
        <v>2000</v>
      </c>
      <c r="O112" s="149">
        <v>2.1</v>
      </c>
      <c r="P112" s="149" t="s">
        <v>75</v>
      </c>
      <c r="Q112" s="149">
        <v>2.16E-5</v>
      </c>
      <c r="R112" s="149">
        <v>1965000</v>
      </c>
      <c r="S112" s="149"/>
      <c r="T112" s="152"/>
      <c r="U112" s="149"/>
      <c r="V112" s="152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>
        <v>12.368138714065536</v>
      </c>
      <c r="BQ112" s="149">
        <f t="shared" ca="1" si="7"/>
        <v>12.155896670146499</v>
      </c>
      <c r="BR112" s="149">
        <v>20.221951350692255</v>
      </c>
      <c r="BS112" s="149">
        <v>19.884821084139652</v>
      </c>
      <c r="BT112" s="149">
        <f t="shared" ca="1" si="6"/>
        <v>619.14653853327127</v>
      </c>
      <c r="BU112" s="153">
        <v>27847.999170569212</v>
      </c>
      <c r="BV112" s="149">
        <f t="shared" ca="1" si="8"/>
        <v>1.5770695750259984E-2</v>
      </c>
      <c r="BW112" s="1"/>
    </row>
    <row r="113" spans="1:75" x14ac:dyDescent="0.25">
      <c r="A113" s="149">
        <f t="shared" si="9"/>
        <v>112</v>
      </c>
      <c r="B113" s="150" t="s">
        <v>147</v>
      </c>
      <c r="C113" s="151">
        <v>0.45833333333333331</v>
      </c>
      <c r="D113" s="149" t="s">
        <v>142</v>
      </c>
      <c r="E113" s="149" t="s">
        <v>143</v>
      </c>
      <c r="F113" s="149" t="s">
        <v>144</v>
      </c>
      <c r="G113" s="149">
        <v>123821</v>
      </c>
      <c r="H113" s="149">
        <v>4</v>
      </c>
      <c r="I113" s="149">
        <v>28045</v>
      </c>
      <c r="J113" s="149" t="s">
        <v>145</v>
      </c>
      <c r="K113" s="149" t="s">
        <v>83</v>
      </c>
      <c r="L113" s="149" t="s">
        <v>81</v>
      </c>
      <c r="M113" s="149">
        <v>3</v>
      </c>
      <c r="N113" s="149">
        <v>2000</v>
      </c>
      <c r="O113" s="149">
        <v>2.1</v>
      </c>
      <c r="P113" s="149" t="s">
        <v>75</v>
      </c>
      <c r="Q113" s="149">
        <v>2.16E-5</v>
      </c>
      <c r="R113" s="149">
        <v>1965000</v>
      </c>
      <c r="S113" s="149"/>
      <c r="T113" s="152"/>
      <c r="U113" s="149"/>
      <c r="V113" s="152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>
        <v>12.968542237373292</v>
      </c>
      <c r="BQ113" s="149">
        <f t="shared" ca="1" si="7"/>
        <v>12.774945738988068</v>
      </c>
      <c r="BR113" s="149">
        <v>21.603400283905035</v>
      </c>
      <c r="BS113" s="149">
        <v>21.556908182665815</v>
      </c>
      <c r="BT113" s="149">
        <f t="shared" ca="1" si="6"/>
        <v>651.29065892262281</v>
      </c>
      <c r="BU113" s="153">
        <v>29786.145915659421</v>
      </c>
      <c r="BV113" s="149">
        <f t="shared" ca="1" si="8"/>
        <v>2.6109316694782472E-2</v>
      </c>
      <c r="BW113" s="1"/>
    </row>
    <row r="114" spans="1:75" x14ac:dyDescent="0.25">
      <c r="A114" s="149">
        <f t="shared" si="9"/>
        <v>113</v>
      </c>
      <c r="B114" s="150" t="s">
        <v>147</v>
      </c>
      <c r="C114" s="151">
        <v>0.45833333333333331</v>
      </c>
      <c r="D114" s="149" t="s">
        <v>142</v>
      </c>
      <c r="E114" s="149" t="s">
        <v>143</v>
      </c>
      <c r="F114" s="149" t="s">
        <v>144</v>
      </c>
      <c r="G114" s="149">
        <v>123821</v>
      </c>
      <c r="H114" s="149">
        <v>4</v>
      </c>
      <c r="I114" s="149">
        <v>28045</v>
      </c>
      <c r="J114" s="149" t="s">
        <v>145</v>
      </c>
      <c r="K114" s="149" t="s">
        <v>83</v>
      </c>
      <c r="L114" s="149" t="s">
        <v>81</v>
      </c>
      <c r="M114" s="149">
        <v>3</v>
      </c>
      <c r="N114" s="149">
        <v>2000</v>
      </c>
      <c r="O114" s="149">
        <v>2.1</v>
      </c>
      <c r="P114" s="149" t="s">
        <v>75</v>
      </c>
      <c r="Q114" s="149">
        <v>2.16E-5</v>
      </c>
      <c r="R114" s="149">
        <v>1965000</v>
      </c>
      <c r="S114" s="149"/>
      <c r="T114" s="152"/>
      <c r="U114" s="149"/>
      <c r="V114" s="152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>
        <v>13.846876079496891</v>
      </c>
      <c r="BQ114" s="149">
        <f t="shared" ca="1" si="7"/>
        <v>13.462757259422125</v>
      </c>
      <c r="BR114" s="149">
        <v>20.377485619287057</v>
      </c>
      <c r="BS114" s="149">
        <v>19.972430335756567</v>
      </c>
      <c r="BT114" s="149">
        <f t="shared" ca="1" si="6"/>
        <v>799.31208417626408</v>
      </c>
      <c r="BU114" s="153">
        <v>28443.705232013588</v>
      </c>
      <c r="BV114" s="149">
        <f t="shared" ca="1" si="8"/>
        <v>8.7834901976400603E-3</v>
      </c>
      <c r="BW114" s="1"/>
    </row>
    <row r="115" spans="1:75" x14ac:dyDescent="0.25">
      <c r="A115" s="149">
        <f t="shared" si="9"/>
        <v>114</v>
      </c>
      <c r="B115" s="150" t="s">
        <v>147</v>
      </c>
      <c r="C115" s="151">
        <v>0.45833333333333331</v>
      </c>
      <c r="D115" s="149" t="s">
        <v>142</v>
      </c>
      <c r="E115" s="149" t="s">
        <v>143</v>
      </c>
      <c r="F115" s="149" t="s">
        <v>144</v>
      </c>
      <c r="G115" s="149">
        <v>123456</v>
      </c>
      <c r="H115" s="149">
        <v>4</v>
      </c>
      <c r="I115" s="149">
        <v>29250</v>
      </c>
      <c r="J115" s="149" t="s">
        <v>137</v>
      </c>
      <c r="K115" s="149" t="s">
        <v>83</v>
      </c>
      <c r="L115" s="149" t="s">
        <v>81</v>
      </c>
      <c r="M115" s="149">
        <v>3</v>
      </c>
      <c r="N115" s="149">
        <v>2000</v>
      </c>
      <c r="O115" s="149">
        <v>2.1</v>
      </c>
      <c r="P115" s="149" t="s">
        <v>75</v>
      </c>
      <c r="Q115" s="149">
        <v>2.16E-5</v>
      </c>
      <c r="R115" s="149">
        <v>1965000</v>
      </c>
      <c r="S115" s="149"/>
      <c r="T115" s="152"/>
      <c r="U115" s="149"/>
      <c r="V115" s="152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>
        <v>12.569360382971315</v>
      </c>
      <c r="BQ115" s="149">
        <f t="shared" ca="1" si="7"/>
        <v>12.507189159695219</v>
      </c>
      <c r="BR115" s="149">
        <v>24.554971518048745</v>
      </c>
      <c r="BS115" s="149">
        <v>24.465744538220218</v>
      </c>
      <c r="BT115" s="149">
        <f t="shared" ca="1" si="6"/>
        <v>709.62703861233695</v>
      </c>
      <c r="BU115" s="153">
        <v>29578.936771424826</v>
      </c>
      <c r="BV115" s="149">
        <f t="shared" ca="1" si="8"/>
        <v>2.1024282766612445E-2</v>
      </c>
      <c r="BW115" s="1"/>
    </row>
    <row r="116" spans="1:75" x14ac:dyDescent="0.25">
      <c r="A116" s="149">
        <f t="shared" si="9"/>
        <v>115</v>
      </c>
      <c r="B116" s="150" t="s">
        <v>147</v>
      </c>
      <c r="C116" s="151">
        <v>0.45833333333333331</v>
      </c>
      <c r="D116" s="149" t="s">
        <v>142</v>
      </c>
      <c r="E116" s="149" t="s">
        <v>143</v>
      </c>
      <c r="F116" s="149" t="s">
        <v>144</v>
      </c>
      <c r="G116" s="149">
        <v>123456</v>
      </c>
      <c r="H116" s="149">
        <v>4</v>
      </c>
      <c r="I116" s="149">
        <v>29250</v>
      </c>
      <c r="J116" s="149" t="s">
        <v>137</v>
      </c>
      <c r="K116" s="149" t="s">
        <v>83</v>
      </c>
      <c r="L116" s="149" t="s">
        <v>81</v>
      </c>
      <c r="M116" s="149">
        <v>3</v>
      </c>
      <c r="N116" s="149">
        <v>2000</v>
      </c>
      <c r="O116" s="149">
        <v>2.1</v>
      </c>
      <c r="P116" s="149" t="s">
        <v>75</v>
      </c>
      <c r="Q116" s="149">
        <v>2.16E-5</v>
      </c>
      <c r="R116" s="149">
        <v>1965000</v>
      </c>
      <c r="S116" s="149"/>
      <c r="T116" s="152"/>
      <c r="U116" s="149"/>
      <c r="V116" s="152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>
        <v>13.541736670085676</v>
      </c>
      <c r="BQ116" s="149">
        <f t="shared" ca="1" si="7"/>
        <v>13.155581917465991</v>
      </c>
      <c r="BR116" s="149">
        <v>19.926025051221139</v>
      </c>
      <c r="BS116" s="149">
        <v>19.67702198585372</v>
      </c>
      <c r="BT116" s="149">
        <f t="shared" ca="1" si="6"/>
        <v>736.09049984431476</v>
      </c>
      <c r="BU116" s="153">
        <v>28925.35133408129</v>
      </c>
      <c r="BV116" s="149">
        <f t="shared" ca="1" si="8"/>
        <v>2.1499136208263235E-2</v>
      </c>
      <c r="BW116" s="1"/>
    </row>
    <row r="117" spans="1:75" x14ac:dyDescent="0.25">
      <c r="A117" s="149">
        <f t="shared" si="9"/>
        <v>116</v>
      </c>
      <c r="B117" s="150" t="s">
        <v>147</v>
      </c>
      <c r="C117" s="151">
        <v>0.45833333333333331</v>
      </c>
      <c r="D117" s="149" t="s">
        <v>142</v>
      </c>
      <c r="E117" s="149" t="s">
        <v>143</v>
      </c>
      <c r="F117" s="149" t="s">
        <v>144</v>
      </c>
      <c r="G117" s="149">
        <v>123821</v>
      </c>
      <c r="H117" s="149">
        <v>4</v>
      </c>
      <c r="I117" s="149">
        <v>28045</v>
      </c>
      <c r="J117" s="149" t="s">
        <v>145</v>
      </c>
      <c r="K117" s="149" t="s">
        <v>83</v>
      </c>
      <c r="L117" s="149" t="s">
        <v>81</v>
      </c>
      <c r="M117" s="149">
        <v>3</v>
      </c>
      <c r="N117" s="149">
        <v>2000</v>
      </c>
      <c r="O117" s="149">
        <v>2.1</v>
      </c>
      <c r="P117" s="149" t="s">
        <v>75</v>
      </c>
      <c r="Q117" s="149">
        <v>2.16E-5</v>
      </c>
      <c r="R117" s="149">
        <v>1965000</v>
      </c>
      <c r="S117" s="149"/>
      <c r="T117" s="152"/>
      <c r="U117" s="149"/>
      <c r="V117" s="152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>
        <v>12.569882381132548</v>
      </c>
      <c r="BQ117" s="149">
        <f t="shared" ca="1" si="7"/>
        <v>12.461609478803444</v>
      </c>
      <c r="BR117" s="149">
        <v>18.01437267904581</v>
      </c>
      <c r="BS117" s="149">
        <v>17.945733742731512</v>
      </c>
      <c r="BT117" s="149">
        <f t="shared" ca="1" si="6"/>
        <v>719.73869134799133</v>
      </c>
      <c r="BU117" s="153">
        <v>29846.471644343408</v>
      </c>
      <c r="BV117" s="149">
        <f t="shared" ca="1" si="8"/>
        <v>1.1096457002056786E-2</v>
      </c>
      <c r="BW117" s="1"/>
    </row>
    <row r="118" spans="1:75" x14ac:dyDescent="0.25">
      <c r="A118" s="149">
        <f t="shared" si="9"/>
        <v>117</v>
      </c>
      <c r="B118" s="150" t="s">
        <v>147</v>
      </c>
      <c r="C118" s="151">
        <v>0.45833333333333331</v>
      </c>
      <c r="D118" s="149" t="s">
        <v>142</v>
      </c>
      <c r="E118" s="149" t="s">
        <v>143</v>
      </c>
      <c r="F118" s="149" t="s">
        <v>144</v>
      </c>
      <c r="G118" s="149">
        <v>123821</v>
      </c>
      <c r="H118" s="149">
        <v>4</v>
      </c>
      <c r="I118" s="149">
        <v>28045</v>
      </c>
      <c r="J118" s="149" t="s">
        <v>145</v>
      </c>
      <c r="K118" s="149" t="s">
        <v>83</v>
      </c>
      <c r="L118" s="149" t="s">
        <v>81</v>
      </c>
      <c r="M118" s="149">
        <v>3</v>
      </c>
      <c r="N118" s="149">
        <v>2000</v>
      </c>
      <c r="O118" s="149">
        <v>2.1</v>
      </c>
      <c r="P118" s="149" t="s">
        <v>75</v>
      </c>
      <c r="Q118" s="149">
        <v>2.16E-5</v>
      </c>
      <c r="R118" s="149">
        <v>1965000</v>
      </c>
      <c r="S118" s="149"/>
      <c r="T118" s="152"/>
      <c r="U118" s="149"/>
      <c r="V118" s="152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>
        <v>14.43752833570854</v>
      </c>
      <c r="BQ118" s="149">
        <f t="shared" ca="1" si="7"/>
        <v>14.430775818398365</v>
      </c>
      <c r="BR118" s="149">
        <v>21.185567053430358</v>
      </c>
      <c r="BS118" s="149">
        <v>20.751703871903217</v>
      </c>
      <c r="BT118" s="149">
        <f t="shared" ca="1" si="6"/>
        <v>689.4656004403048</v>
      </c>
      <c r="BU118" s="153">
        <v>27477.748931633338</v>
      </c>
      <c r="BV118" s="149">
        <f t="shared" ca="1" si="8"/>
        <v>1.8008582033517833E-2</v>
      </c>
      <c r="BW118" s="1"/>
    </row>
    <row r="119" spans="1:75" x14ac:dyDescent="0.25">
      <c r="A119" s="149">
        <f t="shared" si="9"/>
        <v>118</v>
      </c>
      <c r="B119" s="150" t="s">
        <v>147</v>
      </c>
      <c r="C119" s="151">
        <v>0.45833333333333331</v>
      </c>
      <c r="D119" s="149" t="s">
        <v>142</v>
      </c>
      <c r="E119" s="149" t="s">
        <v>143</v>
      </c>
      <c r="F119" s="149" t="s">
        <v>144</v>
      </c>
      <c r="G119" s="149">
        <v>123456</v>
      </c>
      <c r="H119" s="149">
        <v>4</v>
      </c>
      <c r="I119" s="149">
        <v>29250</v>
      </c>
      <c r="J119" s="149" t="s">
        <v>137</v>
      </c>
      <c r="K119" s="149" t="s">
        <v>83</v>
      </c>
      <c r="L119" s="149" t="s">
        <v>81</v>
      </c>
      <c r="M119" s="149">
        <v>3</v>
      </c>
      <c r="N119" s="149">
        <v>2000</v>
      </c>
      <c r="O119" s="149">
        <v>2.1</v>
      </c>
      <c r="P119" s="149" t="s">
        <v>75</v>
      </c>
      <c r="Q119" s="149">
        <v>2.16E-5</v>
      </c>
      <c r="R119" s="149">
        <v>1965000</v>
      </c>
      <c r="S119" s="149"/>
      <c r="T119" s="152"/>
      <c r="U119" s="149"/>
      <c r="V119" s="152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>
        <v>14.487948743988182</v>
      </c>
      <c r="BQ119" s="149">
        <f t="shared" ca="1" si="7"/>
        <v>14.378070124498226</v>
      </c>
      <c r="BR119" s="149">
        <v>18.74981787929342</v>
      </c>
      <c r="BS119" s="149">
        <v>18.741484101986185</v>
      </c>
      <c r="BT119" s="149">
        <f t="shared" ca="1" si="6"/>
        <v>619.06429423994973</v>
      </c>
      <c r="BU119" s="153">
        <v>29769.613034232003</v>
      </c>
      <c r="BV119" s="149">
        <f t="shared" ca="1" si="8"/>
        <v>6.9646177285187186E-3</v>
      </c>
      <c r="BW119" s="1"/>
    </row>
    <row r="120" spans="1:75" x14ac:dyDescent="0.25">
      <c r="A120" s="149">
        <f t="shared" si="9"/>
        <v>119</v>
      </c>
      <c r="B120" s="150" t="s">
        <v>147</v>
      </c>
      <c r="C120" s="151">
        <v>0.45833333333333331</v>
      </c>
      <c r="D120" s="149" t="s">
        <v>142</v>
      </c>
      <c r="E120" s="149" t="s">
        <v>143</v>
      </c>
      <c r="F120" s="149" t="s">
        <v>144</v>
      </c>
      <c r="G120" s="149">
        <v>123456</v>
      </c>
      <c r="H120" s="149">
        <v>4</v>
      </c>
      <c r="I120" s="149">
        <v>29250</v>
      </c>
      <c r="J120" s="149" t="s">
        <v>137</v>
      </c>
      <c r="K120" s="149" t="s">
        <v>83</v>
      </c>
      <c r="L120" s="149" t="s">
        <v>81</v>
      </c>
      <c r="M120" s="149">
        <v>3</v>
      </c>
      <c r="N120" s="149">
        <v>2000</v>
      </c>
      <c r="O120" s="149">
        <v>2.1</v>
      </c>
      <c r="P120" s="149" t="s">
        <v>75</v>
      </c>
      <c r="Q120" s="149">
        <v>2.16E-5</v>
      </c>
      <c r="R120" s="149">
        <v>1965000</v>
      </c>
      <c r="S120" s="149"/>
      <c r="T120" s="152"/>
      <c r="U120" s="149"/>
      <c r="V120" s="152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>
        <v>14.860749799808632</v>
      </c>
      <c r="BQ120" s="149">
        <f t="shared" ca="1" si="7"/>
        <v>14.549115353780063</v>
      </c>
      <c r="BR120" s="149">
        <v>19.813300186575759</v>
      </c>
      <c r="BS120" s="149">
        <v>19.666679091441789</v>
      </c>
      <c r="BT120" s="149">
        <f t="shared" ca="1" si="6"/>
        <v>767.51820489768613</v>
      </c>
      <c r="BU120" s="153">
        <v>27819.409304031589</v>
      </c>
      <c r="BV120" s="149">
        <f t="shared" ca="1" si="8"/>
        <v>2.0196132504540085E-2</v>
      </c>
      <c r="BW120" s="1"/>
    </row>
    <row r="121" spans="1:75" x14ac:dyDescent="0.25">
      <c r="A121" s="149">
        <f t="shared" si="9"/>
        <v>120</v>
      </c>
      <c r="B121" s="150" t="s">
        <v>147</v>
      </c>
      <c r="C121" s="151">
        <v>0.45833333333333331</v>
      </c>
      <c r="D121" s="149" t="s">
        <v>142</v>
      </c>
      <c r="E121" s="149" t="s">
        <v>143</v>
      </c>
      <c r="F121" s="149" t="s">
        <v>144</v>
      </c>
      <c r="G121" s="149">
        <v>123821</v>
      </c>
      <c r="H121" s="149">
        <v>4</v>
      </c>
      <c r="I121" s="149">
        <v>28045</v>
      </c>
      <c r="J121" s="149" t="s">
        <v>145</v>
      </c>
      <c r="K121" s="149" t="s">
        <v>83</v>
      </c>
      <c r="L121" s="149" t="s">
        <v>81</v>
      </c>
      <c r="M121" s="149">
        <v>3</v>
      </c>
      <c r="N121" s="149">
        <v>2000</v>
      </c>
      <c r="O121" s="149">
        <v>2.1</v>
      </c>
      <c r="P121" s="149" t="s">
        <v>75</v>
      </c>
      <c r="Q121" s="149">
        <v>2.16E-5</v>
      </c>
      <c r="R121" s="149">
        <v>1965000</v>
      </c>
      <c r="S121" s="149"/>
      <c r="T121" s="152"/>
      <c r="U121" s="149"/>
      <c r="V121" s="152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>
        <v>13.314481476125318</v>
      </c>
      <c r="BQ121" s="149">
        <f t="shared" ca="1" si="7"/>
        <v>13.150657781082829</v>
      </c>
      <c r="BR121" s="149">
        <v>21.635308635023094</v>
      </c>
      <c r="BS121" s="149">
        <v>21.314678016530777</v>
      </c>
      <c r="BT121" s="149">
        <f t="shared" ca="1" si="6"/>
        <v>774.26089637393591</v>
      </c>
      <c r="BU121" s="153">
        <v>27175.675210185895</v>
      </c>
      <c r="BV121" s="149">
        <f t="shared" ca="1" si="8"/>
        <v>1.9740799782698906E-2</v>
      </c>
      <c r="BW121" s="1"/>
    </row>
    <row r="122" spans="1:75" x14ac:dyDescent="0.25">
      <c r="A122" s="149">
        <f t="shared" si="9"/>
        <v>121</v>
      </c>
      <c r="B122" s="150" t="s">
        <v>147</v>
      </c>
      <c r="C122" s="151">
        <v>0.45833333333333331</v>
      </c>
      <c r="D122" s="149" t="s">
        <v>142</v>
      </c>
      <c r="E122" s="149" t="s">
        <v>143</v>
      </c>
      <c r="F122" s="149" t="s">
        <v>144</v>
      </c>
      <c r="G122" s="149">
        <v>123821</v>
      </c>
      <c r="H122" s="149">
        <v>4</v>
      </c>
      <c r="I122" s="149">
        <v>28045</v>
      </c>
      <c r="J122" s="149" t="s">
        <v>145</v>
      </c>
      <c r="K122" s="149" t="s">
        <v>83</v>
      </c>
      <c r="L122" s="149" t="s">
        <v>81</v>
      </c>
      <c r="M122" s="149">
        <v>3</v>
      </c>
      <c r="N122" s="149">
        <v>2000</v>
      </c>
      <c r="O122" s="149">
        <v>2.1</v>
      </c>
      <c r="P122" s="149" t="s">
        <v>75</v>
      </c>
      <c r="Q122" s="149">
        <v>2.16E-5</v>
      </c>
      <c r="R122" s="149">
        <v>1965000</v>
      </c>
      <c r="S122" s="149"/>
      <c r="T122" s="152"/>
      <c r="U122" s="149"/>
      <c r="V122" s="152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>
        <v>14.109897325185591</v>
      </c>
      <c r="BQ122" s="149">
        <f t="shared" ca="1" si="7"/>
        <v>13.72588785880529</v>
      </c>
      <c r="BR122" s="149">
        <v>21.655914464279018</v>
      </c>
      <c r="BS122" s="149">
        <v>21.219783963270356</v>
      </c>
      <c r="BT122" s="149">
        <f t="shared" ca="1" si="6"/>
        <v>630.96731311354279</v>
      </c>
      <c r="BU122" s="153">
        <v>27841.355987972896</v>
      </c>
      <c r="BV122" s="149">
        <f t="shared" ca="1" si="8"/>
        <v>1.069513531666888E-2</v>
      </c>
      <c r="BW122" s="1"/>
    </row>
    <row r="123" spans="1:75" x14ac:dyDescent="0.25">
      <c r="A123" s="149">
        <f t="shared" si="9"/>
        <v>122</v>
      </c>
      <c r="B123" s="150" t="s">
        <v>147</v>
      </c>
      <c r="C123" s="151">
        <v>0.45833333333333331</v>
      </c>
      <c r="D123" s="149" t="s">
        <v>142</v>
      </c>
      <c r="E123" s="149" t="s">
        <v>143</v>
      </c>
      <c r="F123" s="149" t="s">
        <v>144</v>
      </c>
      <c r="G123" s="149">
        <v>123456</v>
      </c>
      <c r="H123" s="149">
        <v>4</v>
      </c>
      <c r="I123" s="149">
        <v>29250</v>
      </c>
      <c r="J123" s="149" t="s">
        <v>137</v>
      </c>
      <c r="K123" s="149" t="s">
        <v>83</v>
      </c>
      <c r="L123" s="149" t="s">
        <v>81</v>
      </c>
      <c r="M123" s="149">
        <v>3</v>
      </c>
      <c r="N123" s="149">
        <v>2000</v>
      </c>
      <c r="O123" s="149">
        <v>2.1</v>
      </c>
      <c r="P123" s="149" t="s">
        <v>75</v>
      </c>
      <c r="Q123" s="149">
        <v>2.16E-5</v>
      </c>
      <c r="R123" s="149">
        <v>1965000</v>
      </c>
      <c r="S123" s="149"/>
      <c r="T123" s="152"/>
      <c r="U123" s="149"/>
      <c r="V123" s="152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>
        <v>13.193648619554565</v>
      </c>
      <c r="BQ123" s="149">
        <f t="shared" ca="1" si="7"/>
        <v>12.990613455156403</v>
      </c>
      <c r="BR123" s="149">
        <v>18.891467180987028</v>
      </c>
      <c r="BS123" s="149">
        <v>18.549988715676911</v>
      </c>
      <c r="BT123" s="149">
        <f t="shared" ca="1" si="6"/>
        <v>618.32982802899699</v>
      </c>
      <c r="BU123" s="153">
        <v>29445.384498421543</v>
      </c>
      <c r="BV123" s="149">
        <f t="shared" ca="1" si="8"/>
        <v>2.7282075079722506E-2</v>
      </c>
      <c r="BW123" s="1"/>
    </row>
    <row r="124" spans="1:75" x14ac:dyDescent="0.25">
      <c r="A124" s="149">
        <f t="shared" si="9"/>
        <v>123</v>
      </c>
      <c r="B124" s="150" t="s">
        <v>147</v>
      </c>
      <c r="C124" s="151">
        <v>0.45833333333333331</v>
      </c>
      <c r="D124" s="149" t="s">
        <v>142</v>
      </c>
      <c r="E124" s="149" t="s">
        <v>143</v>
      </c>
      <c r="F124" s="149" t="s">
        <v>144</v>
      </c>
      <c r="G124" s="149">
        <v>123456</v>
      </c>
      <c r="H124" s="149">
        <v>4</v>
      </c>
      <c r="I124" s="149">
        <v>29250</v>
      </c>
      <c r="J124" s="149" t="s">
        <v>137</v>
      </c>
      <c r="K124" s="149" t="s">
        <v>83</v>
      </c>
      <c r="L124" s="149" t="s">
        <v>81</v>
      </c>
      <c r="M124" s="149">
        <v>3</v>
      </c>
      <c r="N124" s="149">
        <v>2000</v>
      </c>
      <c r="O124" s="149">
        <v>2.1</v>
      </c>
      <c r="P124" s="149" t="s">
        <v>75</v>
      </c>
      <c r="Q124" s="149">
        <v>2.16E-5</v>
      </c>
      <c r="R124" s="149">
        <v>1965000</v>
      </c>
      <c r="S124" s="149"/>
      <c r="T124" s="152"/>
      <c r="U124" s="149"/>
      <c r="V124" s="152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>
        <v>12.015429847953811</v>
      </c>
      <c r="BQ124" s="149">
        <f t="shared" ca="1" si="7"/>
        <v>11.734337370438311</v>
      </c>
      <c r="BR124" s="149">
        <v>23.644528269372529</v>
      </c>
      <c r="BS124" s="149">
        <v>23.573792736266544</v>
      </c>
      <c r="BT124" s="149">
        <f t="shared" ca="1" si="6"/>
        <v>620.5600443159168</v>
      </c>
      <c r="BU124" s="153">
        <v>27613.467383565443</v>
      </c>
      <c r="BV124" s="149">
        <f t="shared" ca="1" si="8"/>
        <v>1.1902917549015599E-2</v>
      </c>
      <c r="BW124" s="1"/>
    </row>
    <row r="125" spans="1:75" x14ac:dyDescent="0.25">
      <c r="A125" s="149">
        <f t="shared" si="9"/>
        <v>124</v>
      </c>
      <c r="B125" s="150" t="s">
        <v>147</v>
      </c>
      <c r="C125" s="151">
        <v>0.45833333333333331</v>
      </c>
      <c r="D125" s="149" t="s">
        <v>142</v>
      </c>
      <c r="E125" s="149" t="s">
        <v>143</v>
      </c>
      <c r="F125" s="149" t="s">
        <v>144</v>
      </c>
      <c r="G125" s="149">
        <v>123821</v>
      </c>
      <c r="H125" s="149">
        <v>4</v>
      </c>
      <c r="I125" s="149">
        <v>28045</v>
      </c>
      <c r="J125" s="149" t="s">
        <v>145</v>
      </c>
      <c r="K125" s="149" t="s">
        <v>83</v>
      </c>
      <c r="L125" s="149" t="s">
        <v>81</v>
      </c>
      <c r="M125" s="149">
        <v>3</v>
      </c>
      <c r="N125" s="149">
        <v>2000</v>
      </c>
      <c r="O125" s="149">
        <v>2.1</v>
      </c>
      <c r="P125" s="149" t="s">
        <v>75</v>
      </c>
      <c r="Q125" s="149">
        <v>2.16E-5</v>
      </c>
      <c r="R125" s="149">
        <v>1965000</v>
      </c>
      <c r="S125" s="149"/>
      <c r="T125" s="152"/>
      <c r="U125" s="149"/>
      <c r="V125" s="152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149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49"/>
      <c r="BL125" s="149"/>
      <c r="BM125" s="149"/>
      <c r="BN125" s="149"/>
      <c r="BO125" s="149"/>
      <c r="BP125" s="149">
        <v>13.844070838920471</v>
      </c>
      <c r="BQ125" s="149">
        <f t="shared" ca="1" si="7"/>
        <v>13.692931201354341</v>
      </c>
      <c r="BR125" s="149">
        <v>20.937164594484564</v>
      </c>
      <c r="BS125" s="149">
        <v>20.785451844154029</v>
      </c>
      <c r="BT125" s="149">
        <f t="shared" ca="1" si="6"/>
        <v>736.65898175882739</v>
      </c>
      <c r="BU125" s="153">
        <v>28611.444429871743</v>
      </c>
      <c r="BV125" s="149">
        <f t="shared" ca="1" si="8"/>
        <v>2.7790403412260547E-2</v>
      </c>
      <c r="BW125" s="1"/>
    </row>
    <row r="126" spans="1:75" x14ac:dyDescent="0.25">
      <c r="A126" s="149">
        <f t="shared" si="9"/>
        <v>125</v>
      </c>
      <c r="B126" s="150" t="s">
        <v>147</v>
      </c>
      <c r="C126" s="151">
        <v>0.45833333333333331</v>
      </c>
      <c r="D126" s="149" t="s">
        <v>142</v>
      </c>
      <c r="E126" s="149" t="s">
        <v>143</v>
      </c>
      <c r="F126" s="149" t="s">
        <v>144</v>
      </c>
      <c r="G126" s="149">
        <v>123821</v>
      </c>
      <c r="H126" s="149">
        <v>4</v>
      </c>
      <c r="I126" s="149">
        <v>28045</v>
      </c>
      <c r="J126" s="149" t="s">
        <v>145</v>
      </c>
      <c r="K126" s="149" t="s">
        <v>83</v>
      </c>
      <c r="L126" s="149" t="s">
        <v>81</v>
      </c>
      <c r="M126" s="149">
        <v>3</v>
      </c>
      <c r="N126" s="149">
        <v>2000</v>
      </c>
      <c r="O126" s="149">
        <v>2.1</v>
      </c>
      <c r="P126" s="149" t="s">
        <v>75</v>
      </c>
      <c r="Q126" s="149">
        <v>2.16E-5</v>
      </c>
      <c r="R126" s="149">
        <v>1965000</v>
      </c>
      <c r="S126" s="149"/>
      <c r="T126" s="152"/>
      <c r="U126" s="149"/>
      <c r="V126" s="152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49"/>
      <c r="AL126" s="149"/>
      <c r="AM126" s="149"/>
      <c r="AN126" s="149"/>
      <c r="AO126" s="149"/>
      <c r="AP126" s="149"/>
      <c r="AQ126" s="149"/>
      <c r="AR126" s="149"/>
      <c r="AS126" s="149"/>
      <c r="AT126" s="149"/>
      <c r="AU126" s="149"/>
      <c r="AV126" s="149"/>
      <c r="AW126" s="149"/>
      <c r="AX126" s="149"/>
      <c r="AY126" s="149"/>
      <c r="AZ126" s="149"/>
      <c r="BA126" s="149"/>
      <c r="BB126" s="149"/>
      <c r="BC126" s="149"/>
      <c r="BD126" s="149"/>
      <c r="BE126" s="149"/>
      <c r="BF126" s="149"/>
      <c r="BG126" s="149"/>
      <c r="BH126" s="149"/>
      <c r="BI126" s="149"/>
      <c r="BJ126" s="149"/>
      <c r="BK126" s="149"/>
      <c r="BL126" s="149"/>
      <c r="BM126" s="149"/>
      <c r="BN126" s="149"/>
      <c r="BO126" s="149"/>
      <c r="BP126" s="149">
        <v>14.200659849283969</v>
      </c>
      <c r="BQ126" s="149">
        <f t="shared" ca="1" si="7"/>
        <v>14.096371743629025</v>
      </c>
      <c r="BR126" s="149">
        <v>18.347368220668312</v>
      </c>
      <c r="BS126" s="149">
        <v>18.155912949521255</v>
      </c>
      <c r="BT126" s="149">
        <f t="shared" ca="1" si="6"/>
        <v>660.44791892517162</v>
      </c>
      <c r="BU126" s="153">
        <v>26812.934511190128</v>
      </c>
      <c r="BV126" s="149">
        <f t="shared" ca="1" si="8"/>
        <v>1.406372460734287E-2</v>
      </c>
      <c r="BW126" s="1"/>
    </row>
    <row r="127" spans="1:75" x14ac:dyDescent="0.25">
      <c r="A127" s="149">
        <f t="shared" si="9"/>
        <v>126</v>
      </c>
      <c r="B127" s="150" t="s">
        <v>147</v>
      </c>
      <c r="C127" s="151">
        <v>0.45833333333333331</v>
      </c>
      <c r="D127" s="149" t="s">
        <v>142</v>
      </c>
      <c r="E127" s="149" t="s">
        <v>143</v>
      </c>
      <c r="F127" s="149" t="s">
        <v>144</v>
      </c>
      <c r="G127" s="149">
        <v>123456</v>
      </c>
      <c r="H127" s="149">
        <v>4</v>
      </c>
      <c r="I127" s="149">
        <v>29250</v>
      </c>
      <c r="J127" s="149" t="s">
        <v>137</v>
      </c>
      <c r="K127" s="149" t="s">
        <v>83</v>
      </c>
      <c r="L127" s="149" t="s">
        <v>81</v>
      </c>
      <c r="M127" s="149">
        <v>3</v>
      </c>
      <c r="N127" s="149">
        <v>2000</v>
      </c>
      <c r="O127" s="149">
        <v>2.1</v>
      </c>
      <c r="P127" s="149" t="s">
        <v>75</v>
      </c>
      <c r="Q127" s="149">
        <v>2.16E-5</v>
      </c>
      <c r="R127" s="149">
        <v>1965000</v>
      </c>
      <c r="S127" s="149"/>
      <c r="T127" s="152"/>
      <c r="U127" s="149"/>
      <c r="V127" s="152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>
        <v>13.266140731178298</v>
      </c>
      <c r="BQ127" s="149">
        <f t="shared" ca="1" si="7"/>
        <v>13.101929636233573</v>
      </c>
      <c r="BR127" s="149">
        <v>18.271374637484037</v>
      </c>
      <c r="BS127" s="149">
        <v>17.953483339045711</v>
      </c>
      <c r="BT127" s="149">
        <f t="shared" ref="BT127:BT190" ca="1" si="10">RAND()*(800-600)+600</f>
        <v>624.12502350236866</v>
      </c>
      <c r="BU127" s="153">
        <v>29115.146904176752</v>
      </c>
      <c r="BV127" s="149">
        <f t="shared" ca="1" si="8"/>
        <v>1.3403367064240201E-2</v>
      </c>
      <c r="BW127" s="1"/>
    </row>
    <row r="128" spans="1:75" x14ac:dyDescent="0.25">
      <c r="A128" s="149">
        <f t="shared" si="9"/>
        <v>127</v>
      </c>
      <c r="B128" s="150" t="s">
        <v>147</v>
      </c>
      <c r="C128" s="151">
        <v>0.45833333333333331</v>
      </c>
      <c r="D128" s="149" t="s">
        <v>142</v>
      </c>
      <c r="E128" s="149" t="s">
        <v>143</v>
      </c>
      <c r="F128" s="149" t="s">
        <v>144</v>
      </c>
      <c r="G128" s="149">
        <v>123456</v>
      </c>
      <c r="H128" s="149">
        <v>4</v>
      </c>
      <c r="I128" s="149">
        <v>29250</v>
      </c>
      <c r="J128" s="149" t="s">
        <v>137</v>
      </c>
      <c r="K128" s="149" t="s">
        <v>83</v>
      </c>
      <c r="L128" s="149" t="s">
        <v>81</v>
      </c>
      <c r="M128" s="149">
        <v>3</v>
      </c>
      <c r="N128" s="149">
        <v>2000</v>
      </c>
      <c r="O128" s="149">
        <v>2.1</v>
      </c>
      <c r="P128" s="149" t="s">
        <v>75</v>
      </c>
      <c r="Q128" s="149">
        <v>2.16E-5</v>
      </c>
      <c r="R128" s="149">
        <v>1965000</v>
      </c>
      <c r="S128" s="149"/>
      <c r="T128" s="152"/>
      <c r="U128" s="149"/>
      <c r="V128" s="152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>
        <v>13.879327271848176</v>
      </c>
      <c r="BQ128" s="149">
        <f t="shared" ref="BQ128:BQ191" ca="1" si="11">BP128-RAND()*(0.5-0)</f>
        <v>13.410133620834793</v>
      </c>
      <c r="BR128" s="149">
        <v>18.675467265211601</v>
      </c>
      <c r="BS128" s="149">
        <v>18.391381263981078</v>
      </c>
      <c r="BT128" s="149">
        <f t="shared" ca="1" si="10"/>
        <v>701.61126344201216</v>
      </c>
      <c r="BU128" s="153">
        <v>27531.964326855858</v>
      </c>
      <c r="BV128" s="149">
        <f t="shared" ref="BV128:BV191" ca="1" si="12">RAND()*(0.03-0.004)+0.004</f>
        <v>1.7197808726867731E-2</v>
      </c>
      <c r="BW128" s="1"/>
    </row>
    <row r="129" spans="1:75" x14ac:dyDescent="0.25">
      <c r="A129" s="149">
        <f t="shared" si="9"/>
        <v>128</v>
      </c>
      <c r="B129" s="150" t="s">
        <v>147</v>
      </c>
      <c r="C129" s="151">
        <v>0.45833333333333331</v>
      </c>
      <c r="D129" s="149" t="s">
        <v>142</v>
      </c>
      <c r="E129" s="149" t="s">
        <v>143</v>
      </c>
      <c r="F129" s="149" t="s">
        <v>144</v>
      </c>
      <c r="G129" s="149">
        <v>123821</v>
      </c>
      <c r="H129" s="149">
        <v>4</v>
      </c>
      <c r="I129" s="149">
        <v>28045</v>
      </c>
      <c r="J129" s="149" t="s">
        <v>145</v>
      </c>
      <c r="K129" s="149" t="s">
        <v>83</v>
      </c>
      <c r="L129" s="149" t="s">
        <v>81</v>
      </c>
      <c r="M129" s="149">
        <v>3</v>
      </c>
      <c r="N129" s="149">
        <v>2000</v>
      </c>
      <c r="O129" s="149">
        <v>2.1</v>
      </c>
      <c r="P129" s="149" t="s">
        <v>75</v>
      </c>
      <c r="Q129" s="149">
        <v>2.16E-5</v>
      </c>
      <c r="R129" s="149">
        <v>1965000</v>
      </c>
      <c r="S129" s="149"/>
      <c r="T129" s="152"/>
      <c r="U129" s="149"/>
      <c r="V129" s="152"/>
      <c r="W129" s="149"/>
      <c r="X129" s="149"/>
      <c r="Y129" s="149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>
        <v>13.426164835691427</v>
      </c>
      <c r="BQ129" s="149">
        <f t="shared" ca="1" si="11"/>
        <v>13.415792287456883</v>
      </c>
      <c r="BR129" s="149">
        <v>19.777868920202113</v>
      </c>
      <c r="BS129" s="149">
        <v>19.588425003359831</v>
      </c>
      <c r="BT129" s="149">
        <f t="shared" ca="1" si="10"/>
        <v>797.23275891517324</v>
      </c>
      <c r="BU129" s="153">
        <v>28408.576931150317</v>
      </c>
      <c r="BV129" s="149">
        <f t="shared" ca="1" si="12"/>
        <v>2.1940106192281879E-2</v>
      </c>
      <c r="BW129" s="1"/>
    </row>
    <row r="130" spans="1:75" x14ac:dyDescent="0.25">
      <c r="A130" s="149">
        <f t="shared" si="9"/>
        <v>129</v>
      </c>
      <c r="B130" s="150" t="s">
        <v>147</v>
      </c>
      <c r="C130" s="151">
        <v>0.45833333333333331</v>
      </c>
      <c r="D130" s="149" t="s">
        <v>142</v>
      </c>
      <c r="E130" s="149" t="s">
        <v>143</v>
      </c>
      <c r="F130" s="149" t="s">
        <v>144</v>
      </c>
      <c r="G130" s="149">
        <v>123821</v>
      </c>
      <c r="H130" s="149">
        <v>4</v>
      </c>
      <c r="I130" s="149">
        <v>28045</v>
      </c>
      <c r="J130" s="149" t="s">
        <v>145</v>
      </c>
      <c r="K130" s="149" t="s">
        <v>83</v>
      </c>
      <c r="L130" s="149" t="s">
        <v>81</v>
      </c>
      <c r="M130" s="149">
        <v>3</v>
      </c>
      <c r="N130" s="149">
        <v>2000</v>
      </c>
      <c r="O130" s="149">
        <v>2.1</v>
      </c>
      <c r="P130" s="149" t="s">
        <v>75</v>
      </c>
      <c r="Q130" s="149">
        <v>2.16E-5</v>
      </c>
      <c r="R130" s="149">
        <v>1965000</v>
      </c>
      <c r="S130" s="149"/>
      <c r="T130" s="152"/>
      <c r="U130" s="149"/>
      <c r="V130" s="152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>
        <v>12.740203757039266</v>
      </c>
      <c r="BQ130" s="149">
        <f t="shared" ca="1" si="11"/>
        <v>12.422258910605981</v>
      </c>
      <c r="BR130" s="149">
        <v>20.739370266102426</v>
      </c>
      <c r="BS130" s="149">
        <v>20.615162355024413</v>
      </c>
      <c r="BT130" s="149">
        <f t="shared" ca="1" si="10"/>
        <v>704.02367674352411</v>
      </c>
      <c r="BU130" s="153">
        <v>29256.886803571215</v>
      </c>
      <c r="BV130" s="149">
        <f t="shared" ca="1" si="12"/>
        <v>2.3813323255622992E-2</v>
      </c>
      <c r="BW130" s="1"/>
    </row>
    <row r="131" spans="1:75" x14ac:dyDescent="0.25">
      <c r="A131" s="149">
        <f t="shared" si="9"/>
        <v>130</v>
      </c>
      <c r="B131" s="150" t="s">
        <v>147</v>
      </c>
      <c r="C131" s="151">
        <v>0.45833333333333331</v>
      </c>
      <c r="D131" s="149" t="s">
        <v>142</v>
      </c>
      <c r="E131" s="149" t="s">
        <v>143</v>
      </c>
      <c r="F131" s="149" t="s">
        <v>144</v>
      </c>
      <c r="G131" s="149">
        <v>123456</v>
      </c>
      <c r="H131" s="149">
        <v>4</v>
      </c>
      <c r="I131" s="149">
        <v>29250</v>
      </c>
      <c r="J131" s="149" t="s">
        <v>137</v>
      </c>
      <c r="K131" s="149" t="s">
        <v>83</v>
      </c>
      <c r="L131" s="149" t="s">
        <v>81</v>
      </c>
      <c r="M131" s="149">
        <v>3</v>
      </c>
      <c r="N131" s="149">
        <v>2000</v>
      </c>
      <c r="O131" s="149">
        <v>2.1</v>
      </c>
      <c r="P131" s="149" t="s">
        <v>75</v>
      </c>
      <c r="Q131" s="149">
        <v>2.16E-5</v>
      </c>
      <c r="R131" s="149">
        <v>1965000</v>
      </c>
      <c r="S131" s="149"/>
      <c r="T131" s="152"/>
      <c r="U131" s="149"/>
      <c r="V131" s="152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>
        <v>14.446030702287898</v>
      </c>
      <c r="BQ131" s="149">
        <f t="shared" ca="1" si="11"/>
        <v>14.030800783162134</v>
      </c>
      <c r="BR131" s="149">
        <v>20.735275126730787</v>
      </c>
      <c r="BS131" s="149">
        <v>20.715102024118988</v>
      </c>
      <c r="BT131" s="149">
        <f t="shared" ca="1" si="10"/>
        <v>783.02937043659131</v>
      </c>
      <c r="BU131" s="153">
        <v>28585.134846317822</v>
      </c>
      <c r="BV131" s="149">
        <f t="shared" ca="1" si="12"/>
        <v>6.0912259424396086E-3</v>
      </c>
      <c r="BW131" s="1"/>
    </row>
    <row r="132" spans="1:75" x14ac:dyDescent="0.25">
      <c r="A132" s="149">
        <f t="shared" ref="A132:A195" si="13">A131+1</f>
        <v>131</v>
      </c>
      <c r="B132" s="150" t="s">
        <v>147</v>
      </c>
      <c r="C132" s="151">
        <v>0.45833333333333331</v>
      </c>
      <c r="D132" s="149" t="s">
        <v>142</v>
      </c>
      <c r="E132" s="149" t="s">
        <v>143</v>
      </c>
      <c r="F132" s="149" t="s">
        <v>144</v>
      </c>
      <c r="G132" s="149">
        <v>123456</v>
      </c>
      <c r="H132" s="149">
        <v>4</v>
      </c>
      <c r="I132" s="149">
        <v>29250</v>
      </c>
      <c r="J132" s="149" t="s">
        <v>137</v>
      </c>
      <c r="K132" s="149" t="s">
        <v>83</v>
      </c>
      <c r="L132" s="149" t="s">
        <v>81</v>
      </c>
      <c r="M132" s="149">
        <v>3</v>
      </c>
      <c r="N132" s="149">
        <v>2000</v>
      </c>
      <c r="O132" s="149">
        <v>2.1</v>
      </c>
      <c r="P132" s="149" t="s">
        <v>75</v>
      </c>
      <c r="Q132" s="149">
        <v>2.16E-5</v>
      </c>
      <c r="R132" s="149">
        <v>1965000</v>
      </c>
      <c r="S132" s="149"/>
      <c r="T132" s="152"/>
      <c r="U132" s="149"/>
      <c r="V132" s="152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>
        <v>14.462335685659841</v>
      </c>
      <c r="BQ132" s="149">
        <f t="shared" ca="1" si="11"/>
        <v>14.369472854990503</v>
      </c>
      <c r="BR132" s="149">
        <v>19.529360767999773</v>
      </c>
      <c r="BS132" s="149">
        <v>19.13878413111091</v>
      </c>
      <c r="BT132" s="149">
        <f t="shared" ca="1" si="10"/>
        <v>653.86962722495855</v>
      </c>
      <c r="BU132" s="153">
        <v>28980.963066015644</v>
      </c>
      <c r="BV132" s="149">
        <f t="shared" ca="1" si="12"/>
        <v>4.2602871846676984E-3</v>
      </c>
      <c r="BW132" s="1"/>
    </row>
    <row r="133" spans="1:75" x14ac:dyDescent="0.25">
      <c r="A133" s="149">
        <f t="shared" si="13"/>
        <v>132</v>
      </c>
      <c r="B133" s="150" t="s">
        <v>147</v>
      </c>
      <c r="C133" s="151">
        <v>0.45833333333333331</v>
      </c>
      <c r="D133" s="149" t="s">
        <v>142</v>
      </c>
      <c r="E133" s="149" t="s">
        <v>143</v>
      </c>
      <c r="F133" s="149" t="s">
        <v>144</v>
      </c>
      <c r="G133" s="149">
        <v>123821</v>
      </c>
      <c r="H133" s="149">
        <v>4</v>
      </c>
      <c r="I133" s="149">
        <v>28045</v>
      </c>
      <c r="J133" s="149" t="s">
        <v>145</v>
      </c>
      <c r="K133" s="149" t="s">
        <v>83</v>
      </c>
      <c r="L133" s="149" t="s">
        <v>81</v>
      </c>
      <c r="M133" s="149">
        <v>3</v>
      </c>
      <c r="N133" s="149">
        <v>2000</v>
      </c>
      <c r="O133" s="149">
        <v>2.1</v>
      </c>
      <c r="P133" s="149" t="s">
        <v>75</v>
      </c>
      <c r="Q133" s="149">
        <v>2.16E-5</v>
      </c>
      <c r="R133" s="149">
        <v>1965000</v>
      </c>
      <c r="S133" s="149"/>
      <c r="T133" s="152"/>
      <c r="U133" s="149"/>
      <c r="V133" s="152"/>
      <c r="W133" s="149"/>
      <c r="X133" s="149"/>
      <c r="Y133" s="149"/>
      <c r="Z133" s="149"/>
      <c r="AA133" s="149"/>
      <c r="AB133" s="149"/>
      <c r="AC133" s="149"/>
      <c r="AD133" s="149"/>
      <c r="AE133" s="149"/>
      <c r="AF133" s="149"/>
      <c r="AG133" s="149"/>
      <c r="AH133" s="149"/>
      <c r="AI133" s="149"/>
      <c r="AJ133" s="149"/>
      <c r="AK133" s="149"/>
      <c r="AL133" s="149"/>
      <c r="AM133" s="149"/>
      <c r="AN133" s="149"/>
      <c r="AO133" s="149"/>
      <c r="AP133" s="149"/>
      <c r="AQ133" s="149"/>
      <c r="AR133" s="149"/>
      <c r="AS133" s="149"/>
      <c r="AT133" s="149"/>
      <c r="AU133" s="149"/>
      <c r="AV133" s="149"/>
      <c r="AW133" s="149"/>
      <c r="AX133" s="149"/>
      <c r="AY133" s="149"/>
      <c r="AZ133" s="149"/>
      <c r="BA133" s="149"/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49"/>
      <c r="BL133" s="149"/>
      <c r="BM133" s="149"/>
      <c r="BN133" s="149"/>
      <c r="BO133" s="149"/>
      <c r="BP133" s="149">
        <v>14.739429201173634</v>
      </c>
      <c r="BQ133" s="149">
        <f t="shared" ca="1" si="11"/>
        <v>14.50718518130487</v>
      </c>
      <c r="BR133" s="149">
        <v>21.210022976260138</v>
      </c>
      <c r="BS133" s="149">
        <v>20.991766845529899</v>
      </c>
      <c r="BT133" s="149">
        <f t="shared" ca="1" si="10"/>
        <v>686.40133787372486</v>
      </c>
      <c r="BU133" s="153">
        <v>26875.113942975313</v>
      </c>
      <c r="BV133" s="149">
        <f t="shared" ca="1" si="12"/>
        <v>1.4639181361507823E-2</v>
      </c>
      <c r="BW133" s="1"/>
    </row>
    <row r="134" spans="1:75" x14ac:dyDescent="0.25">
      <c r="A134" s="149">
        <f t="shared" si="13"/>
        <v>133</v>
      </c>
      <c r="B134" s="150" t="s">
        <v>147</v>
      </c>
      <c r="C134" s="151">
        <v>0.45833333333333331</v>
      </c>
      <c r="D134" s="149" t="s">
        <v>142</v>
      </c>
      <c r="E134" s="149" t="s">
        <v>143</v>
      </c>
      <c r="F134" s="149" t="s">
        <v>144</v>
      </c>
      <c r="G134" s="149">
        <v>123821</v>
      </c>
      <c r="H134" s="149">
        <v>4</v>
      </c>
      <c r="I134" s="149">
        <v>28045</v>
      </c>
      <c r="J134" s="149" t="s">
        <v>145</v>
      </c>
      <c r="K134" s="149" t="s">
        <v>83</v>
      </c>
      <c r="L134" s="149" t="s">
        <v>81</v>
      </c>
      <c r="M134" s="149">
        <v>3</v>
      </c>
      <c r="N134" s="149">
        <v>2000</v>
      </c>
      <c r="O134" s="149">
        <v>2.1</v>
      </c>
      <c r="P134" s="149" t="s">
        <v>75</v>
      </c>
      <c r="Q134" s="149">
        <v>2.16E-5</v>
      </c>
      <c r="R134" s="149">
        <v>1965000</v>
      </c>
      <c r="S134" s="149"/>
      <c r="T134" s="152"/>
      <c r="U134" s="149"/>
      <c r="V134" s="152"/>
      <c r="W134" s="149"/>
      <c r="X134" s="149"/>
      <c r="Y134" s="149"/>
      <c r="Z134" s="149"/>
      <c r="AA134" s="149"/>
      <c r="AB134" s="149"/>
      <c r="AC134" s="149"/>
      <c r="AD134" s="149"/>
      <c r="AE134" s="149"/>
      <c r="AF134" s="149"/>
      <c r="AG134" s="149"/>
      <c r="AH134" s="149"/>
      <c r="AI134" s="149"/>
      <c r="AJ134" s="149"/>
      <c r="AK134" s="149"/>
      <c r="AL134" s="149"/>
      <c r="AM134" s="149"/>
      <c r="AN134" s="149"/>
      <c r="AO134" s="149"/>
      <c r="AP134" s="149"/>
      <c r="AQ134" s="149"/>
      <c r="AR134" s="149"/>
      <c r="AS134" s="149"/>
      <c r="AT134" s="149"/>
      <c r="AU134" s="149"/>
      <c r="AV134" s="149"/>
      <c r="AW134" s="149"/>
      <c r="AX134" s="149"/>
      <c r="AY134" s="149"/>
      <c r="AZ134" s="149"/>
      <c r="BA134" s="149"/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49"/>
      <c r="BL134" s="149"/>
      <c r="BM134" s="149"/>
      <c r="BN134" s="149"/>
      <c r="BO134" s="149"/>
      <c r="BP134" s="149">
        <v>12.057473541649435</v>
      </c>
      <c r="BQ134" s="149">
        <f t="shared" ca="1" si="11"/>
        <v>11.806662635870302</v>
      </c>
      <c r="BR134" s="149">
        <v>24.787662539466904</v>
      </c>
      <c r="BS134" s="149">
        <v>24.778081510998067</v>
      </c>
      <c r="BT134" s="149">
        <f t="shared" ca="1" si="10"/>
        <v>634.98215896636998</v>
      </c>
      <c r="BU134" s="153">
        <v>28046.711766399516</v>
      </c>
      <c r="BV134" s="149">
        <f t="shared" ca="1" si="12"/>
        <v>7.9984531551607774E-3</v>
      </c>
      <c r="BW134" s="1"/>
    </row>
    <row r="135" spans="1:75" x14ac:dyDescent="0.25">
      <c r="A135" s="149">
        <f t="shared" si="13"/>
        <v>134</v>
      </c>
      <c r="B135" s="150" t="s">
        <v>147</v>
      </c>
      <c r="C135" s="151">
        <v>0.45833333333333331</v>
      </c>
      <c r="D135" s="149" t="s">
        <v>142</v>
      </c>
      <c r="E135" s="149" t="s">
        <v>143</v>
      </c>
      <c r="F135" s="149" t="s">
        <v>144</v>
      </c>
      <c r="G135" s="149">
        <v>123456</v>
      </c>
      <c r="H135" s="149">
        <v>4</v>
      </c>
      <c r="I135" s="149">
        <v>29250</v>
      </c>
      <c r="J135" s="149" t="s">
        <v>137</v>
      </c>
      <c r="K135" s="149" t="s">
        <v>83</v>
      </c>
      <c r="L135" s="149" t="s">
        <v>81</v>
      </c>
      <c r="M135" s="149">
        <v>3</v>
      </c>
      <c r="N135" s="149">
        <v>2000</v>
      </c>
      <c r="O135" s="149">
        <v>2.1</v>
      </c>
      <c r="P135" s="149" t="s">
        <v>75</v>
      </c>
      <c r="Q135" s="149">
        <v>2.16E-5</v>
      </c>
      <c r="R135" s="149">
        <v>1965000</v>
      </c>
      <c r="S135" s="149"/>
      <c r="T135" s="152"/>
      <c r="U135" s="149"/>
      <c r="V135" s="152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149"/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49"/>
      <c r="BL135" s="149"/>
      <c r="BM135" s="149"/>
      <c r="BN135" s="149"/>
      <c r="BO135" s="149"/>
      <c r="BP135" s="149">
        <v>12.441347928672659</v>
      </c>
      <c r="BQ135" s="149">
        <f t="shared" ca="1" si="11"/>
        <v>12.17294158576807</v>
      </c>
      <c r="BR135" s="149">
        <v>19.703852044760762</v>
      </c>
      <c r="BS135" s="149">
        <v>19.654768714578434</v>
      </c>
      <c r="BT135" s="149">
        <f t="shared" ca="1" si="10"/>
        <v>765.01259958672608</v>
      </c>
      <c r="BU135" s="153">
        <v>27230.830630149208</v>
      </c>
      <c r="BV135" s="149">
        <f t="shared" ca="1" si="12"/>
        <v>7.6835853703096637E-3</v>
      </c>
      <c r="BW135" s="1"/>
    </row>
    <row r="136" spans="1:75" x14ac:dyDescent="0.25">
      <c r="A136" s="149">
        <f t="shared" si="13"/>
        <v>135</v>
      </c>
      <c r="B136" s="150" t="s">
        <v>147</v>
      </c>
      <c r="C136" s="151">
        <v>0.45833333333333331</v>
      </c>
      <c r="D136" s="149" t="s">
        <v>142</v>
      </c>
      <c r="E136" s="149" t="s">
        <v>143</v>
      </c>
      <c r="F136" s="149" t="s">
        <v>144</v>
      </c>
      <c r="G136" s="149">
        <v>123456</v>
      </c>
      <c r="H136" s="149">
        <v>4</v>
      </c>
      <c r="I136" s="149">
        <v>29250</v>
      </c>
      <c r="J136" s="149" t="s">
        <v>137</v>
      </c>
      <c r="K136" s="149" t="s">
        <v>83</v>
      </c>
      <c r="L136" s="149" t="s">
        <v>81</v>
      </c>
      <c r="M136" s="149">
        <v>3</v>
      </c>
      <c r="N136" s="149">
        <v>2000</v>
      </c>
      <c r="O136" s="149">
        <v>2.1</v>
      </c>
      <c r="P136" s="149" t="s">
        <v>75</v>
      </c>
      <c r="Q136" s="149">
        <v>2.16E-5</v>
      </c>
      <c r="R136" s="149">
        <v>1965000</v>
      </c>
      <c r="S136" s="149"/>
      <c r="T136" s="152"/>
      <c r="U136" s="149"/>
      <c r="V136" s="152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  <c r="BI136" s="149"/>
      <c r="BJ136" s="149"/>
      <c r="BK136" s="149"/>
      <c r="BL136" s="149"/>
      <c r="BM136" s="149"/>
      <c r="BN136" s="149"/>
      <c r="BO136" s="149"/>
      <c r="BP136" s="149">
        <v>12.477349089832767</v>
      </c>
      <c r="BQ136" s="149">
        <f t="shared" ca="1" si="11"/>
        <v>12.330784408658792</v>
      </c>
      <c r="BR136" s="149">
        <v>22.317758902849214</v>
      </c>
      <c r="BS136" s="149">
        <v>22.100016158041981</v>
      </c>
      <c r="BT136" s="149">
        <f t="shared" ca="1" si="10"/>
        <v>610.44180890213397</v>
      </c>
      <c r="BU136" s="153">
        <v>27888.211145049765</v>
      </c>
      <c r="BV136" s="149">
        <f t="shared" ca="1" si="12"/>
        <v>8.2874776368939765E-3</v>
      </c>
      <c r="BW136" s="1"/>
    </row>
    <row r="137" spans="1:75" x14ac:dyDescent="0.25">
      <c r="A137" s="149">
        <f t="shared" si="13"/>
        <v>136</v>
      </c>
      <c r="B137" s="150" t="s">
        <v>147</v>
      </c>
      <c r="C137" s="151">
        <v>0.45833333333333331</v>
      </c>
      <c r="D137" s="149" t="s">
        <v>142</v>
      </c>
      <c r="E137" s="149" t="s">
        <v>143</v>
      </c>
      <c r="F137" s="149" t="s">
        <v>144</v>
      </c>
      <c r="G137" s="149">
        <v>123821</v>
      </c>
      <c r="H137" s="149">
        <v>4</v>
      </c>
      <c r="I137" s="149">
        <v>28045</v>
      </c>
      <c r="J137" s="149" t="s">
        <v>145</v>
      </c>
      <c r="K137" s="149" t="s">
        <v>83</v>
      </c>
      <c r="L137" s="149" t="s">
        <v>81</v>
      </c>
      <c r="M137" s="149">
        <v>3</v>
      </c>
      <c r="N137" s="149">
        <v>2000</v>
      </c>
      <c r="O137" s="149">
        <v>2.1</v>
      </c>
      <c r="P137" s="149" t="s">
        <v>75</v>
      </c>
      <c r="Q137" s="149">
        <v>2.16E-5</v>
      </c>
      <c r="R137" s="149">
        <v>1965000</v>
      </c>
      <c r="S137" s="149"/>
      <c r="T137" s="152"/>
      <c r="U137" s="149"/>
      <c r="V137" s="152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>
        <v>14.663410565500335</v>
      </c>
      <c r="BQ137" s="149">
        <f t="shared" ca="1" si="11"/>
        <v>14.633385510434143</v>
      </c>
      <c r="BR137" s="149">
        <v>20.910401195907067</v>
      </c>
      <c r="BS137" s="149">
        <v>20.652702854253793</v>
      </c>
      <c r="BT137" s="149">
        <f t="shared" ca="1" si="10"/>
        <v>605.96624535573039</v>
      </c>
      <c r="BU137" s="153">
        <v>29361.961349441775</v>
      </c>
      <c r="BV137" s="149">
        <f t="shared" ca="1" si="12"/>
        <v>2.1324397157701871E-2</v>
      </c>
      <c r="BW137" s="1"/>
    </row>
    <row r="138" spans="1:75" x14ac:dyDescent="0.25">
      <c r="A138" s="149">
        <f t="shared" si="13"/>
        <v>137</v>
      </c>
      <c r="B138" s="150" t="s">
        <v>147</v>
      </c>
      <c r="C138" s="151">
        <v>0.45833333333333331</v>
      </c>
      <c r="D138" s="149" t="s">
        <v>142</v>
      </c>
      <c r="E138" s="149" t="s">
        <v>143</v>
      </c>
      <c r="F138" s="149" t="s">
        <v>144</v>
      </c>
      <c r="G138" s="149">
        <v>123821</v>
      </c>
      <c r="H138" s="149">
        <v>4</v>
      </c>
      <c r="I138" s="149">
        <v>28045</v>
      </c>
      <c r="J138" s="149" t="s">
        <v>145</v>
      </c>
      <c r="K138" s="149" t="s">
        <v>83</v>
      </c>
      <c r="L138" s="149" t="s">
        <v>81</v>
      </c>
      <c r="M138" s="149">
        <v>3</v>
      </c>
      <c r="N138" s="149">
        <v>2000</v>
      </c>
      <c r="O138" s="149">
        <v>2.1</v>
      </c>
      <c r="P138" s="149" t="s">
        <v>75</v>
      </c>
      <c r="Q138" s="149">
        <v>2.16E-5</v>
      </c>
      <c r="R138" s="149">
        <v>1965000</v>
      </c>
      <c r="S138" s="149"/>
      <c r="T138" s="152"/>
      <c r="U138" s="149"/>
      <c r="V138" s="152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  <c r="AI138" s="149"/>
      <c r="AJ138" s="149"/>
      <c r="AK138" s="149"/>
      <c r="AL138" s="149"/>
      <c r="AM138" s="149"/>
      <c r="AN138" s="149"/>
      <c r="AO138" s="149"/>
      <c r="AP138" s="149"/>
      <c r="AQ138" s="149"/>
      <c r="AR138" s="149"/>
      <c r="AS138" s="149"/>
      <c r="AT138" s="149"/>
      <c r="AU138" s="149"/>
      <c r="AV138" s="149"/>
      <c r="AW138" s="149"/>
      <c r="AX138" s="149"/>
      <c r="AY138" s="149"/>
      <c r="AZ138" s="149"/>
      <c r="BA138" s="149"/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49"/>
      <c r="BL138" s="149"/>
      <c r="BM138" s="149"/>
      <c r="BN138" s="149"/>
      <c r="BO138" s="149"/>
      <c r="BP138" s="149">
        <v>13.461350286272467</v>
      </c>
      <c r="BQ138" s="149">
        <f t="shared" ca="1" si="11"/>
        <v>13.337184529749768</v>
      </c>
      <c r="BR138" s="149">
        <v>18.098630968918311</v>
      </c>
      <c r="BS138" s="149">
        <v>17.730233771106509</v>
      </c>
      <c r="BT138" s="149">
        <f t="shared" ca="1" si="10"/>
        <v>649.76951906333579</v>
      </c>
      <c r="BU138" s="153">
        <v>28539.870847973565</v>
      </c>
      <c r="BV138" s="149">
        <f t="shared" ca="1" si="12"/>
        <v>2.6303159971922847E-2</v>
      </c>
      <c r="BW138" s="1"/>
    </row>
    <row r="139" spans="1:75" x14ac:dyDescent="0.25">
      <c r="A139" s="149">
        <f t="shared" si="13"/>
        <v>138</v>
      </c>
      <c r="B139" s="150" t="s">
        <v>147</v>
      </c>
      <c r="C139" s="151">
        <v>0.45833333333333331</v>
      </c>
      <c r="D139" s="149" t="s">
        <v>142</v>
      </c>
      <c r="E139" s="149" t="s">
        <v>143</v>
      </c>
      <c r="F139" s="149" t="s">
        <v>144</v>
      </c>
      <c r="G139" s="149">
        <v>123456</v>
      </c>
      <c r="H139" s="149">
        <v>4</v>
      </c>
      <c r="I139" s="149">
        <v>29250</v>
      </c>
      <c r="J139" s="149" t="s">
        <v>137</v>
      </c>
      <c r="K139" s="149" t="s">
        <v>83</v>
      </c>
      <c r="L139" s="149" t="s">
        <v>81</v>
      </c>
      <c r="M139" s="149">
        <v>3</v>
      </c>
      <c r="N139" s="149">
        <v>2000</v>
      </c>
      <c r="O139" s="149">
        <v>2.1</v>
      </c>
      <c r="P139" s="149" t="s">
        <v>75</v>
      </c>
      <c r="Q139" s="149">
        <v>2.16E-5</v>
      </c>
      <c r="R139" s="149">
        <v>1965000</v>
      </c>
      <c r="S139" s="149"/>
      <c r="T139" s="152"/>
      <c r="U139" s="149"/>
      <c r="V139" s="152"/>
      <c r="W139" s="149"/>
      <c r="X139" s="149"/>
      <c r="Y139" s="149"/>
      <c r="Z139" s="149"/>
      <c r="AA139" s="149"/>
      <c r="AB139" s="149"/>
      <c r="AC139" s="149"/>
      <c r="AD139" s="149"/>
      <c r="AE139" s="149"/>
      <c r="AF139" s="149"/>
      <c r="AG139" s="149"/>
      <c r="AH139" s="149"/>
      <c r="AI139" s="149"/>
      <c r="AJ139" s="149"/>
      <c r="AK139" s="149"/>
      <c r="AL139" s="149"/>
      <c r="AM139" s="149"/>
      <c r="AN139" s="149"/>
      <c r="AO139" s="149"/>
      <c r="AP139" s="149"/>
      <c r="AQ139" s="149"/>
      <c r="AR139" s="149"/>
      <c r="AS139" s="149"/>
      <c r="AT139" s="149"/>
      <c r="AU139" s="149"/>
      <c r="AV139" s="149"/>
      <c r="AW139" s="149"/>
      <c r="AX139" s="149"/>
      <c r="AY139" s="149"/>
      <c r="AZ139" s="149"/>
      <c r="BA139" s="149"/>
      <c r="BB139" s="149"/>
      <c r="BC139" s="149"/>
      <c r="BD139" s="149"/>
      <c r="BE139" s="149"/>
      <c r="BF139" s="149"/>
      <c r="BG139" s="149"/>
      <c r="BH139" s="149"/>
      <c r="BI139" s="149"/>
      <c r="BJ139" s="149"/>
      <c r="BK139" s="149"/>
      <c r="BL139" s="149"/>
      <c r="BM139" s="149"/>
      <c r="BN139" s="149"/>
      <c r="BO139" s="149"/>
      <c r="BP139" s="149">
        <v>13.036112991328729</v>
      </c>
      <c r="BQ139" s="149">
        <f t="shared" ca="1" si="11"/>
        <v>12.772519714226831</v>
      </c>
      <c r="BR139" s="149">
        <v>23.391103951955728</v>
      </c>
      <c r="BS139" s="149">
        <v>23.277845179615952</v>
      </c>
      <c r="BT139" s="149">
        <f t="shared" ca="1" si="10"/>
        <v>695.48642619229759</v>
      </c>
      <c r="BU139" s="153">
        <v>28090.352915635143</v>
      </c>
      <c r="BV139" s="149">
        <f t="shared" ca="1" si="12"/>
        <v>9.0946204729933228E-3</v>
      </c>
      <c r="BW139" s="1"/>
    </row>
    <row r="140" spans="1:75" x14ac:dyDescent="0.25">
      <c r="A140" s="149">
        <f t="shared" si="13"/>
        <v>139</v>
      </c>
      <c r="B140" s="150" t="s">
        <v>147</v>
      </c>
      <c r="C140" s="151">
        <v>0.45833333333333331</v>
      </c>
      <c r="D140" s="149" t="s">
        <v>142</v>
      </c>
      <c r="E140" s="149" t="s">
        <v>143</v>
      </c>
      <c r="F140" s="149" t="s">
        <v>144</v>
      </c>
      <c r="G140" s="149">
        <v>123456</v>
      </c>
      <c r="H140" s="149">
        <v>4</v>
      </c>
      <c r="I140" s="149">
        <v>29250</v>
      </c>
      <c r="J140" s="149" t="s">
        <v>137</v>
      </c>
      <c r="K140" s="149" t="s">
        <v>83</v>
      </c>
      <c r="L140" s="149" t="s">
        <v>81</v>
      </c>
      <c r="M140" s="149">
        <v>3</v>
      </c>
      <c r="N140" s="149">
        <v>2000</v>
      </c>
      <c r="O140" s="149">
        <v>2.1</v>
      </c>
      <c r="P140" s="149" t="s">
        <v>75</v>
      </c>
      <c r="Q140" s="149">
        <v>2.16E-5</v>
      </c>
      <c r="R140" s="149">
        <v>1965000</v>
      </c>
      <c r="S140" s="149"/>
      <c r="T140" s="152"/>
      <c r="U140" s="149"/>
      <c r="V140" s="152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>
        <v>13.988262763624235</v>
      </c>
      <c r="BQ140" s="149">
        <f t="shared" ca="1" si="11"/>
        <v>13.88489458227526</v>
      </c>
      <c r="BR140" s="149">
        <v>18.799158791311143</v>
      </c>
      <c r="BS140" s="149">
        <v>18.691690530268794</v>
      </c>
      <c r="BT140" s="149">
        <f t="shared" ca="1" si="10"/>
        <v>788.62408054352193</v>
      </c>
      <c r="BU140" s="153">
        <v>29651.505127733017</v>
      </c>
      <c r="BV140" s="149">
        <f t="shared" ca="1" si="12"/>
        <v>5.5953510278995127E-3</v>
      </c>
      <c r="BW140" s="1"/>
    </row>
    <row r="141" spans="1:75" x14ac:dyDescent="0.25">
      <c r="A141" s="149">
        <f t="shared" si="13"/>
        <v>140</v>
      </c>
      <c r="B141" s="150" t="s">
        <v>147</v>
      </c>
      <c r="C141" s="151">
        <v>0.45833333333333331</v>
      </c>
      <c r="D141" s="149" t="s">
        <v>142</v>
      </c>
      <c r="E141" s="149" t="s">
        <v>143</v>
      </c>
      <c r="F141" s="149" t="s">
        <v>144</v>
      </c>
      <c r="G141" s="149">
        <v>123821</v>
      </c>
      <c r="H141" s="149">
        <v>4</v>
      </c>
      <c r="I141" s="149">
        <v>28045</v>
      </c>
      <c r="J141" s="149" t="s">
        <v>145</v>
      </c>
      <c r="K141" s="149" t="s">
        <v>83</v>
      </c>
      <c r="L141" s="149" t="s">
        <v>81</v>
      </c>
      <c r="M141" s="149">
        <v>3</v>
      </c>
      <c r="N141" s="149">
        <v>2000</v>
      </c>
      <c r="O141" s="149">
        <v>2.1</v>
      </c>
      <c r="P141" s="149" t="s">
        <v>75</v>
      </c>
      <c r="Q141" s="149">
        <v>2.16E-5</v>
      </c>
      <c r="R141" s="149">
        <v>1965000</v>
      </c>
      <c r="S141" s="149"/>
      <c r="T141" s="152"/>
      <c r="U141" s="149"/>
      <c r="V141" s="152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49"/>
      <c r="BL141" s="149"/>
      <c r="BM141" s="149"/>
      <c r="BN141" s="149"/>
      <c r="BO141" s="149"/>
      <c r="BP141" s="149">
        <v>13.161522908742764</v>
      </c>
      <c r="BQ141" s="149">
        <f t="shared" ca="1" si="11"/>
        <v>12.835585642525164</v>
      </c>
      <c r="BR141" s="149">
        <v>24.965835742512688</v>
      </c>
      <c r="BS141" s="149">
        <v>24.509787603463781</v>
      </c>
      <c r="BT141" s="149">
        <f t="shared" ca="1" si="10"/>
        <v>639.93381392029232</v>
      </c>
      <c r="BU141" s="153">
        <v>29335.041500694922</v>
      </c>
      <c r="BV141" s="149">
        <f t="shared" ca="1" si="12"/>
        <v>2.3569354429308496E-2</v>
      </c>
      <c r="BW141" s="1"/>
    </row>
    <row r="142" spans="1:75" x14ac:dyDescent="0.25">
      <c r="A142" s="149">
        <f t="shared" si="13"/>
        <v>141</v>
      </c>
      <c r="B142" s="150" t="s">
        <v>147</v>
      </c>
      <c r="C142" s="151">
        <v>0.45833333333333331</v>
      </c>
      <c r="D142" s="149" t="s">
        <v>142</v>
      </c>
      <c r="E142" s="149" t="s">
        <v>143</v>
      </c>
      <c r="F142" s="149" t="s">
        <v>144</v>
      </c>
      <c r="G142" s="149">
        <v>123821</v>
      </c>
      <c r="H142" s="149">
        <v>4</v>
      </c>
      <c r="I142" s="149">
        <v>28045</v>
      </c>
      <c r="J142" s="149" t="s">
        <v>145</v>
      </c>
      <c r="K142" s="149" t="s">
        <v>83</v>
      </c>
      <c r="L142" s="149" t="s">
        <v>81</v>
      </c>
      <c r="M142" s="149">
        <v>3</v>
      </c>
      <c r="N142" s="149">
        <v>2000</v>
      </c>
      <c r="O142" s="149">
        <v>2.1</v>
      </c>
      <c r="P142" s="149" t="s">
        <v>75</v>
      </c>
      <c r="Q142" s="149">
        <v>2.16E-5</v>
      </c>
      <c r="R142" s="149">
        <v>1965000</v>
      </c>
      <c r="S142" s="149"/>
      <c r="T142" s="152"/>
      <c r="U142" s="149"/>
      <c r="V142" s="152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>
        <v>14.95548536100706</v>
      </c>
      <c r="BQ142" s="149">
        <f t="shared" ca="1" si="11"/>
        <v>14.686789428514929</v>
      </c>
      <c r="BR142" s="149">
        <v>24.878219987816095</v>
      </c>
      <c r="BS142" s="149">
        <v>24.579470194742825</v>
      </c>
      <c r="BT142" s="149">
        <f t="shared" ca="1" si="10"/>
        <v>791.40884903839333</v>
      </c>
      <c r="BU142" s="153">
        <v>28378.5521737034</v>
      </c>
      <c r="BV142" s="149">
        <f t="shared" ca="1" si="12"/>
        <v>1.0276644547967572E-2</v>
      </c>
      <c r="BW142" s="1"/>
    </row>
    <row r="143" spans="1:75" x14ac:dyDescent="0.25">
      <c r="A143" s="149">
        <v>142</v>
      </c>
      <c r="B143" s="150" t="s">
        <v>147</v>
      </c>
      <c r="C143" s="151">
        <v>0.45833333333333331</v>
      </c>
      <c r="D143" s="149" t="s">
        <v>142</v>
      </c>
      <c r="E143" s="149" t="s">
        <v>143</v>
      </c>
      <c r="F143" s="149" t="s">
        <v>144</v>
      </c>
      <c r="G143" s="149">
        <v>123456</v>
      </c>
      <c r="H143" s="149">
        <v>4</v>
      </c>
      <c r="I143" s="149">
        <v>29250</v>
      </c>
      <c r="J143" s="149" t="s">
        <v>137</v>
      </c>
      <c r="K143" s="149" t="s">
        <v>83</v>
      </c>
      <c r="L143" s="149" t="s">
        <v>81</v>
      </c>
      <c r="M143" s="149">
        <v>3</v>
      </c>
      <c r="N143" s="149">
        <v>2000</v>
      </c>
      <c r="O143" s="149">
        <v>2.1</v>
      </c>
      <c r="P143" s="149" t="s">
        <v>75</v>
      </c>
      <c r="Q143" s="149">
        <v>2.16E-5</v>
      </c>
      <c r="R143" s="149">
        <v>1965000</v>
      </c>
      <c r="S143" s="149"/>
      <c r="T143" s="152"/>
      <c r="U143" s="149"/>
      <c r="V143" s="152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49"/>
      <c r="BL143" s="149"/>
      <c r="BM143" s="149"/>
      <c r="BN143" s="149"/>
      <c r="BO143" s="149"/>
      <c r="BP143" s="149">
        <v>14.762789477375438</v>
      </c>
      <c r="BQ143" s="149">
        <v>14.598261522399328</v>
      </c>
      <c r="BR143" s="149">
        <v>22.154953335282578</v>
      </c>
      <c r="BS143" s="149">
        <v>21.948612865344259</v>
      </c>
      <c r="BT143" s="149">
        <v>746.63307542815335</v>
      </c>
      <c r="BU143" s="153">
        <v>29000</v>
      </c>
      <c r="BV143" s="149">
        <v>4.5451566588104288E-3</v>
      </c>
      <c r="BW143" s="1"/>
    </row>
    <row r="144" spans="1:75" x14ac:dyDescent="0.25">
      <c r="A144" s="149">
        <f t="shared" si="13"/>
        <v>143</v>
      </c>
      <c r="B144" s="150" t="s">
        <v>147</v>
      </c>
      <c r="C144" s="151">
        <v>0.45833333333333331</v>
      </c>
      <c r="D144" s="149" t="s">
        <v>142</v>
      </c>
      <c r="E144" s="149" t="s">
        <v>143</v>
      </c>
      <c r="F144" s="149" t="s">
        <v>144</v>
      </c>
      <c r="G144" s="149">
        <v>123456</v>
      </c>
      <c r="H144" s="149">
        <v>4</v>
      </c>
      <c r="I144" s="149">
        <v>29250</v>
      </c>
      <c r="J144" s="149" t="s">
        <v>137</v>
      </c>
      <c r="K144" s="149" t="s">
        <v>83</v>
      </c>
      <c r="L144" s="149" t="s">
        <v>81</v>
      </c>
      <c r="M144" s="149">
        <v>3</v>
      </c>
      <c r="N144" s="149">
        <v>2000</v>
      </c>
      <c r="O144" s="149">
        <v>2.1</v>
      </c>
      <c r="P144" s="149" t="s">
        <v>75</v>
      </c>
      <c r="Q144" s="149">
        <v>2.16E-5</v>
      </c>
      <c r="R144" s="149">
        <v>1965000</v>
      </c>
      <c r="S144" s="149"/>
      <c r="T144" s="152"/>
      <c r="U144" s="149"/>
      <c r="V144" s="152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49"/>
      <c r="BL144" s="149"/>
      <c r="BM144" s="149"/>
      <c r="BN144" s="149"/>
      <c r="BO144" s="149"/>
      <c r="BP144" s="149">
        <v>14.028135850852616</v>
      </c>
      <c r="BQ144" s="149">
        <f t="shared" ca="1" si="11"/>
        <v>13.871874194714026</v>
      </c>
      <c r="BR144" s="149">
        <v>24.442410355906148</v>
      </c>
      <c r="BS144" s="149">
        <v>24.194706227309414</v>
      </c>
      <c r="BT144" s="149">
        <f t="shared" ca="1" si="10"/>
        <v>729.57784099202695</v>
      </c>
      <c r="BU144" s="153">
        <v>28524.145876512943</v>
      </c>
      <c r="BV144" s="149">
        <f t="shared" ca="1" si="12"/>
        <v>7.2894627511322068E-3</v>
      </c>
      <c r="BW144" s="1"/>
    </row>
    <row r="145" spans="1:75" x14ac:dyDescent="0.25">
      <c r="A145" s="149">
        <f t="shared" si="13"/>
        <v>144</v>
      </c>
      <c r="B145" s="150" t="s">
        <v>147</v>
      </c>
      <c r="C145" s="151">
        <v>0.45833333333333331</v>
      </c>
      <c r="D145" s="149" t="s">
        <v>142</v>
      </c>
      <c r="E145" s="149" t="s">
        <v>143</v>
      </c>
      <c r="F145" s="149" t="s">
        <v>144</v>
      </c>
      <c r="G145" s="149">
        <v>123821</v>
      </c>
      <c r="H145" s="149">
        <v>4</v>
      </c>
      <c r="I145" s="149">
        <v>28045</v>
      </c>
      <c r="J145" s="149" t="s">
        <v>145</v>
      </c>
      <c r="K145" s="149" t="s">
        <v>83</v>
      </c>
      <c r="L145" s="149" t="s">
        <v>81</v>
      </c>
      <c r="M145" s="149">
        <v>3</v>
      </c>
      <c r="N145" s="149">
        <v>2000</v>
      </c>
      <c r="O145" s="149">
        <v>2.1</v>
      </c>
      <c r="P145" s="149" t="s">
        <v>75</v>
      </c>
      <c r="Q145" s="149">
        <v>2.16E-5</v>
      </c>
      <c r="R145" s="149">
        <v>1965000</v>
      </c>
      <c r="S145" s="149"/>
      <c r="T145" s="152"/>
      <c r="U145" s="149"/>
      <c r="V145" s="152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49"/>
      <c r="BL145" s="149"/>
      <c r="BM145" s="149"/>
      <c r="BN145" s="149"/>
      <c r="BO145" s="149"/>
      <c r="BP145" s="149">
        <v>12.857349786923205</v>
      </c>
      <c r="BQ145" s="149">
        <f t="shared" ca="1" si="11"/>
        <v>12.783933440728866</v>
      </c>
      <c r="BR145" s="149">
        <v>19.581500066222983</v>
      </c>
      <c r="BS145" s="149">
        <v>19.248485078902437</v>
      </c>
      <c r="BT145" s="149">
        <f t="shared" ca="1" si="10"/>
        <v>718.2656437889068</v>
      </c>
      <c r="BU145" s="153">
        <v>28614.134250287269</v>
      </c>
      <c r="BV145" s="149">
        <f t="shared" ca="1" si="12"/>
        <v>7.7026800756236549E-3</v>
      </c>
      <c r="BW145" s="1"/>
    </row>
    <row r="146" spans="1:75" x14ac:dyDescent="0.25">
      <c r="A146" s="149">
        <f t="shared" si="13"/>
        <v>145</v>
      </c>
      <c r="B146" s="150" t="s">
        <v>147</v>
      </c>
      <c r="C146" s="151">
        <v>0.45833333333333331</v>
      </c>
      <c r="D146" s="149" t="s">
        <v>142</v>
      </c>
      <c r="E146" s="149" t="s">
        <v>143</v>
      </c>
      <c r="F146" s="149" t="s">
        <v>144</v>
      </c>
      <c r="G146" s="149">
        <v>123821</v>
      </c>
      <c r="H146" s="149">
        <v>4</v>
      </c>
      <c r="I146" s="149">
        <v>28045</v>
      </c>
      <c r="J146" s="149" t="s">
        <v>145</v>
      </c>
      <c r="K146" s="149" t="s">
        <v>83</v>
      </c>
      <c r="L146" s="149" t="s">
        <v>81</v>
      </c>
      <c r="M146" s="149">
        <v>3</v>
      </c>
      <c r="N146" s="149">
        <v>2000</v>
      </c>
      <c r="O146" s="149">
        <v>2.1</v>
      </c>
      <c r="P146" s="149" t="s">
        <v>75</v>
      </c>
      <c r="Q146" s="149">
        <v>2.16E-5</v>
      </c>
      <c r="R146" s="149">
        <v>1965000</v>
      </c>
      <c r="S146" s="149"/>
      <c r="T146" s="152"/>
      <c r="U146" s="149"/>
      <c r="V146" s="152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>
        <v>12.630145012294937</v>
      </c>
      <c r="BQ146" s="149">
        <f t="shared" ca="1" si="11"/>
        <v>12.591875313634425</v>
      </c>
      <c r="BR146" s="149">
        <v>23.386378335399108</v>
      </c>
      <c r="BS146" s="149">
        <v>23.067281040590178</v>
      </c>
      <c r="BT146" s="149">
        <f t="shared" ca="1" si="10"/>
        <v>754.36591387484089</v>
      </c>
      <c r="BU146" s="153">
        <v>27102.632123606967</v>
      </c>
      <c r="BV146" s="149">
        <f t="shared" ca="1" si="12"/>
        <v>1.5965087466172024E-2</v>
      </c>
      <c r="BW146" s="1"/>
    </row>
    <row r="147" spans="1:75" x14ac:dyDescent="0.25">
      <c r="A147" s="149">
        <f t="shared" si="13"/>
        <v>146</v>
      </c>
      <c r="B147" s="150" t="s">
        <v>147</v>
      </c>
      <c r="C147" s="151">
        <v>0.45833333333333331</v>
      </c>
      <c r="D147" s="149" t="s">
        <v>142</v>
      </c>
      <c r="E147" s="149" t="s">
        <v>143</v>
      </c>
      <c r="F147" s="149" t="s">
        <v>144</v>
      </c>
      <c r="G147" s="149">
        <v>123456</v>
      </c>
      <c r="H147" s="149">
        <v>4</v>
      </c>
      <c r="I147" s="149">
        <v>29250</v>
      </c>
      <c r="J147" s="149" t="s">
        <v>137</v>
      </c>
      <c r="K147" s="149" t="s">
        <v>83</v>
      </c>
      <c r="L147" s="149" t="s">
        <v>81</v>
      </c>
      <c r="M147" s="149">
        <v>3</v>
      </c>
      <c r="N147" s="149">
        <v>2000</v>
      </c>
      <c r="O147" s="149">
        <v>2.1</v>
      </c>
      <c r="P147" s="149" t="s">
        <v>75</v>
      </c>
      <c r="Q147" s="149">
        <v>2.16E-5</v>
      </c>
      <c r="R147" s="149">
        <v>1965000</v>
      </c>
      <c r="S147" s="149"/>
      <c r="T147" s="152"/>
      <c r="U147" s="149"/>
      <c r="V147" s="152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>
        <v>12.716310423888995</v>
      </c>
      <c r="BQ147" s="149">
        <f t="shared" ca="1" si="11"/>
        <v>12.295524583939585</v>
      </c>
      <c r="BR147" s="149">
        <v>22.869669555319732</v>
      </c>
      <c r="BS147" s="149">
        <v>22.786145712248587</v>
      </c>
      <c r="BT147" s="149">
        <f t="shared" ca="1" si="10"/>
        <v>633.89076263851371</v>
      </c>
      <c r="BU147" s="153">
        <v>27454.39266931605</v>
      </c>
      <c r="BV147" s="149">
        <f t="shared" ca="1" si="12"/>
        <v>2.5351187782436287E-2</v>
      </c>
      <c r="BW147" s="1"/>
    </row>
    <row r="148" spans="1:75" x14ac:dyDescent="0.25">
      <c r="A148" s="149">
        <f t="shared" si="13"/>
        <v>147</v>
      </c>
      <c r="B148" s="150" t="s">
        <v>147</v>
      </c>
      <c r="C148" s="151">
        <v>0.45833333333333331</v>
      </c>
      <c r="D148" s="149" t="s">
        <v>142</v>
      </c>
      <c r="E148" s="149" t="s">
        <v>143</v>
      </c>
      <c r="F148" s="149" t="s">
        <v>144</v>
      </c>
      <c r="G148" s="149">
        <v>123456</v>
      </c>
      <c r="H148" s="149">
        <v>4</v>
      </c>
      <c r="I148" s="149">
        <v>29250</v>
      </c>
      <c r="J148" s="149" t="s">
        <v>137</v>
      </c>
      <c r="K148" s="149" t="s">
        <v>83</v>
      </c>
      <c r="L148" s="149" t="s">
        <v>81</v>
      </c>
      <c r="M148" s="149">
        <v>3</v>
      </c>
      <c r="N148" s="149">
        <v>2000</v>
      </c>
      <c r="O148" s="149">
        <v>2.1</v>
      </c>
      <c r="P148" s="149" t="s">
        <v>75</v>
      </c>
      <c r="Q148" s="149">
        <v>2.16E-5</v>
      </c>
      <c r="R148" s="149">
        <v>1965000</v>
      </c>
      <c r="S148" s="149"/>
      <c r="T148" s="152"/>
      <c r="U148" s="149"/>
      <c r="V148" s="152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  <c r="BI148" s="149"/>
      <c r="BJ148" s="149"/>
      <c r="BK148" s="149"/>
      <c r="BL148" s="149"/>
      <c r="BM148" s="149"/>
      <c r="BN148" s="149"/>
      <c r="BO148" s="149"/>
      <c r="BP148" s="149">
        <v>13.177557298960735</v>
      </c>
      <c r="BQ148" s="149">
        <f t="shared" ca="1" si="11"/>
        <v>13.14777809628729</v>
      </c>
      <c r="BR148" s="149">
        <v>19.092309877863951</v>
      </c>
      <c r="BS148" s="149">
        <v>18.695548061191403</v>
      </c>
      <c r="BT148" s="149">
        <f t="shared" ca="1" si="10"/>
        <v>716.13459511402277</v>
      </c>
      <c r="BU148" s="153">
        <v>29038.606685622162</v>
      </c>
      <c r="BV148" s="149">
        <f t="shared" ca="1" si="12"/>
        <v>4.0195310840401913E-3</v>
      </c>
      <c r="BW148" s="1"/>
    </row>
    <row r="149" spans="1:75" x14ac:dyDescent="0.25">
      <c r="A149" s="149">
        <f t="shared" si="13"/>
        <v>148</v>
      </c>
      <c r="B149" s="150" t="s">
        <v>147</v>
      </c>
      <c r="C149" s="151">
        <v>0.45833333333333331</v>
      </c>
      <c r="D149" s="149" t="s">
        <v>142</v>
      </c>
      <c r="E149" s="149" t="s">
        <v>143</v>
      </c>
      <c r="F149" s="149" t="s">
        <v>144</v>
      </c>
      <c r="G149" s="149">
        <v>123821</v>
      </c>
      <c r="H149" s="149">
        <v>4</v>
      </c>
      <c r="I149" s="149">
        <v>28045</v>
      </c>
      <c r="J149" s="149" t="s">
        <v>145</v>
      </c>
      <c r="K149" s="149" t="s">
        <v>83</v>
      </c>
      <c r="L149" s="149" t="s">
        <v>81</v>
      </c>
      <c r="M149" s="149">
        <v>3</v>
      </c>
      <c r="N149" s="149">
        <v>2000</v>
      </c>
      <c r="O149" s="149">
        <v>2.1</v>
      </c>
      <c r="P149" s="149" t="s">
        <v>75</v>
      </c>
      <c r="Q149" s="149">
        <v>2.16E-5</v>
      </c>
      <c r="R149" s="149">
        <v>1965000</v>
      </c>
      <c r="S149" s="149"/>
      <c r="T149" s="152"/>
      <c r="U149" s="149"/>
      <c r="V149" s="152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  <c r="BI149" s="149"/>
      <c r="BJ149" s="149"/>
      <c r="BK149" s="149"/>
      <c r="BL149" s="149"/>
      <c r="BM149" s="149"/>
      <c r="BN149" s="149"/>
      <c r="BO149" s="149"/>
      <c r="BP149" s="149">
        <v>12.482657712799609</v>
      </c>
      <c r="BQ149" s="149">
        <f t="shared" ca="1" si="11"/>
        <v>12.413764921061883</v>
      </c>
      <c r="BR149" s="149">
        <v>19.513777412012558</v>
      </c>
      <c r="BS149" s="149">
        <v>19.070995818604462</v>
      </c>
      <c r="BT149" s="149">
        <f t="shared" ca="1" si="10"/>
        <v>731.29916096358079</v>
      </c>
      <c r="BU149" s="153">
        <v>28146.657323858944</v>
      </c>
      <c r="BV149" s="149">
        <f t="shared" ca="1" si="12"/>
        <v>1.4787549018884681E-2</v>
      </c>
      <c r="BW149" s="1"/>
    </row>
    <row r="150" spans="1:75" x14ac:dyDescent="0.25">
      <c r="A150" s="149">
        <f t="shared" si="13"/>
        <v>149</v>
      </c>
      <c r="B150" s="150" t="s">
        <v>147</v>
      </c>
      <c r="C150" s="151">
        <v>0.45833333333333331</v>
      </c>
      <c r="D150" s="149" t="s">
        <v>142</v>
      </c>
      <c r="E150" s="149" t="s">
        <v>143</v>
      </c>
      <c r="F150" s="149" t="s">
        <v>144</v>
      </c>
      <c r="G150" s="149">
        <v>123821</v>
      </c>
      <c r="H150" s="149">
        <v>4</v>
      </c>
      <c r="I150" s="149">
        <v>28045</v>
      </c>
      <c r="J150" s="149" t="s">
        <v>145</v>
      </c>
      <c r="K150" s="149" t="s">
        <v>83</v>
      </c>
      <c r="L150" s="149" t="s">
        <v>81</v>
      </c>
      <c r="M150" s="149">
        <v>3</v>
      </c>
      <c r="N150" s="149">
        <v>2000</v>
      </c>
      <c r="O150" s="149">
        <v>2.1</v>
      </c>
      <c r="P150" s="149" t="s">
        <v>75</v>
      </c>
      <c r="Q150" s="149">
        <v>2.16E-5</v>
      </c>
      <c r="R150" s="149">
        <v>1965000</v>
      </c>
      <c r="S150" s="149"/>
      <c r="T150" s="152"/>
      <c r="U150" s="149"/>
      <c r="V150" s="152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  <c r="BI150" s="149"/>
      <c r="BJ150" s="149"/>
      <c r="BK150" s="149"/>
      <c r="BL150" s="149"/>
      <c r="BM150" s="149"/>
      <c r="BN150" s="149"/>
      <c r="BO150" s="149"/>
      <c r="BP150" s="149">
        <v>12.384027209783426</v>
      </c>
      <c r="BQ150" s="149">
        <f t="shared" ca="1" si="11"/>
        <v>12.371196348937033</v>
      </c>
      <c r="BR150" s="149">
        <v>19.412096173607527</v>
      </c>
      <c r="BS150" s="149">
        <v>19.317132149220704</v>
      </c>
      <c r="BT150" s="149">
        <f t="shared" ca="1" si="10"/>
        <v>714.86179497965395</v>
      </c>
      <c r="BU150" s="153">
        <v>26831.801967245701</v>
      </c>
      <c r="BV150" s="149">
        <f t="shared" ca="1" si="12"/>
        <v>2.5964525707152977E-2</v>
      </c>
      <c r="BW150" s="1"/>
    </row>
    <row r="151" spans="1:75" x14ac:dyDescent="0.25">
      <c r="A151" s="149">
        <f t="shared" si="13"/>
        <v>150</v>
      </c>
      <c r="B151" s="150" t="s">
        <v>147</v>
      </c>
      <c r="C151" s="151">
        <v>0.45833333333333331</v>
      </c>
      <c r="D151" s="149" t="s">
        <v>142</v>
      </c>
      <c r="E151" s="149" t="s">
        <v>143</v>
      </c>
      <c r="F151" s="149" t="s">
        <v>144</v>
      </c>
      <c r="G151" s="149">
        <v>123456</v>
      </c>
      <c r="H151" s="149">
        <v>4</v>
      </c>
      <c r="I151" s="149">
        <v>29250</v>
      </c>
      <c r="J151" s="149" t="s">
        <v>137</v>
      </c>
      <c r="K151" s="149" t="s">
        <v>83</v>
      </c>
      <c r="L151" s="149" t="s">
        <v>81</v>
      </c>
      <c r="M151" s="149">
        <v>3</v>
      </c>
      <c r="N151" s="149">
        <v>2000</v>
      </c>
      <c r="O151" s="149">
        <v>2.1</v>
      </c>
      <c r="P151" s="149" t="s">
        <v>75</v>
      </c>
      <c r="Q151" s="149">
        <v>2.16E-5</v>
      </c>
      <c r="R151" s="149">
        <v>1965000</v>
      </c>
      <c r="S151" s="149"/>
      <c r="T151" s="152"/>
      <c r="U151" s="149"/>
      <c r="V151" s="152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  <c r="BI151" s="149"/>
      <c r="BJ151" s="149"/>
      <c r="BK151" s="149"/>
      <c r="BL151" s="149"/>
      <c r="BM151" s="149"/>
      <c r="BN151" s="149"/>
      <c r="BO151" s="149"/>
      <c r="BP151" s="149">
        <v>13.082957835920247</v>
      </c>
      <c r="BQ151" s="149">
        <f t="shared" ca="1" si="11"/>
        <v>12.921756966739418</v>
      </c>
      <c r="BR151" s="149">
        <v>23.905268491119863</v>
      </c>
      <c r="BS151" s="149">
        <v>23.674315278184149</v>
      </c>
      <c r="BT151" s="149">
        <f t="shared" ca="1" si="10"/>
        <v>781.88678392580698</v>
      </c>
      <c r="BU151" s="153">
        <v>28592.420044390448</v>
      </c>
      <c r="BV151" s="149">
        <f t="shared" ca="1" si="12"/>
        <v>5.1901665420353658E-3</v>
      </c>
      <c r="BW151" s="1"/>
    </row>
    <row r="152" spans="1:75" x14ac:dyDescent="0.25">
      <c r="A152" s="149">
        <f t="shared" si="13"/>
        <v>151</v>
      </c>
      <c r="B152" s="150" t="s">
        <v>147</v>
      </c>
      <c r="C152" s="151">
        <v>0.45833333333333331</v>
      </c>
      <c r="D152" s="149" t="s">
        <v>142</v>
      </c>
      <c r="E152" s="149" t="s">
        <v>143</v>
      </c>
      <c r="F152" s="149" t="s">
        <v>144</v>
      </c>
      <c r="G152" s="149">
        <v>123456</v>
      </c>
      <c r="H152" s="149">
        <v>4</v>
      </c>
      <c r="I152" s="149">
        <v>29250</v>
      </c>
      <c r="J152" s="149" t="s">
        <v>137</v>
      </c>
      <c r="K152" s="149" t="s">
        <v>83</v>
      </c>
      <c r="L152" s="149" t="s">
        <v>81</v>
      </c>
      <c r="M152" s="149">
        <v>3</v>
      </c>
      <c r="N152" s="149">
        <v>2000</v>
      </c>
      <c r="O152" s="149">
        <v>2.1</v>
      </c>
      <c r="P152" s="149" t="s">
        <v>75</v>
      </c>
      <c r="Q152" s="149">
        <v>2.16E-5</v>
      </c>
      <c r="R152" s="149">
        <v>1965000</v>
      </c>
      <c r="S152" s="149"/>
      <c r="T152" s="152"/>
      <c r="U152" s="149"/>
      <c r="V152" s="152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>
        <v>13.154404928153667</v>
      </c>
      <c r="BQ152" s="149">
        <f t="shared" ca="1" si="11"/>
        <v>12.937091104182713</v>
      </c>
      <c r="BR152" s="149">
        <v>22.456236879990634</v>
      </c>
      <c r="BS152" s="149">
        <v>22.299464040116543</v>
      </c>
      <c r="BT152" s="149">
        <f t="shared" ca="1" si="10"/>
        <v>771.30844190036385</v>
      </c>
      <c r="BU152" s="153">
        <v>27374.981344117652</v>
      </c>
      <c r="BV152" s="149">
        <f t="shared" ca="1" si="12"/>
        <v>2.0693500553702584E-2</v>
      </c>
      <c r="BW152" s="1"/>
    </row>
    <row r="153" spans="1:75" x14ac:dyDescent="0.25">
      <c r="A153" s="149">
        <f t="shared" si="13"/>
        <v>152</v>
      </c>
      <c r="B153" s="150" t="s">
        <v>147</v>
      </c>
      <c r="C153" s="151">
        <v>0.45833333333333331</v>
      </c>
      <c r="D153" s="149" t="s">
        <v>142</v>
      </c>
      <c r="E153" s="149" t="s">
        <v>143</v>
      </c>
      <c r="F153" s="149" t="s">
        <v>144</v>
      </c>
      <c r="G153" s="149">
        <v>123821</v>
      </c>
      <c r="H153" s="149">
        <v>4</v>
      </c>
      <c r="I153" s="149">
        <v>28045</v>
      </c>
      <c r="J153" s="149" t="s">
        <v>145</v>
      </c>
      <c r="K153" s="149" t="s">
        <v>83</v>
      </c>
      <c r="L153" s="149" t="s">
        <v>81</v>
      </c>
      <c r="M153" s="149">
        <v>3</v>
      </c>
      <c r="N153" s="149">
        <v>2000</v>
      </c>
      <c r="O153" s="149">
        <v>2.1</v>
      </c>
      <c r="P153" s="149" t="s">
        <v>75</v>
      </c>
      <c r="Q153" s="149">
        <v>2.16E-5</v>
      </c>
      <c r="R153" s="149">
        <v>1965000</v>
      </c>
      <c r="S153" s="149"/>
      <c r="T153" s="152"/>
      <c r="U153" s="149"/>
      <c r="V153" s="152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  <c r="BI153" s="149"/>
      <c r="BJ153" s="149"/>
      <c r="BK153" s="149"/>
      <c r="BL153" s="149"/>
      <c r="BM153" s="149"/>
      <c r="BN153" s="149"/>
      <c r="BO153" s="149"/>
      <c r="BP153" s="149">
        <v>14.379904295041985</v>
      </c>
      <c r="BQ153" s="149">
        <f t="shared" ca="1" si="11"/>
        <v>13.948222464254075</v>
      </c>
      <c r="BR153" s="149">
        <v>22.426173502534191</v>
      </c>
      <c r="BS153" s="149">
        <v>22.026690319314298</v>
      </c>
      <c r="BT153" s="149">
        <f t="shared" ca="1" si="10"/>
        <v>609.40699255946936</v>
      </c>
      <c r="BU153" s="153">
        <v>27840.616220104923</v>
      </c>
      <c r="BV153" s="149">
        <f t="shared" ca="1" si="12"/>
        <v>1.5810201851768353E-2</v>
      </c>
      <c r="BW153" s="1"/>
    </row>
    <row r="154" spans="1:75" x14ac:dyDescent="0.25">
      <c r="A154" s="149">
        <f t="shared" si="13"/>
        <v>153</v>
      </c>
      <c r="B154" s="150" t="s">
        <v>147</v>
      </c>
      <c r="C154" s="151">
        <v>0.45833333333333331</v>
      </c>
      <c r="D154" s="149" t="s">
        <v>142</v>
      </c>
      <c r="E154" s="149" t="s">
        <v>143</v>
      </c>
      <c r="F154" s="149" t="s">
        <v>144</v>
      </c>
      <c r="G154" s="149">
        <v>123821</v>
      </c>
      <c r="H154" s="149">
        <v>4</v>
      </c>
      <c r="I154" s="149">
        <v>28045</v>
      </c>
      <c r="J154" s="149" t="s">
        <v>145</v>
      </c>
      <c r="K154" s="149" t="s">
        <v>83</v>
      </c>
      <c r="L154" s="149" t="s">
        <v>81</v>
      </c>
      <c r="M154" s="149">
        <v>3</v>
      </c>
      <c r="N154" s="149">
        <v>2000</v>
      </c>
      <c r="O154" s="149">
        <v>2.1</v>
      </c>
      <c r="P154" s="149" t="s">
        <v>75</v>
      </c>
      <c r="Q154" s="149">
        <v>2.16E-5</v>
      </c>
      <c r="R154" s="149">
        <v>1965000</v>
      </c>
      <c r="S154" s="149"/>
      <c r="T154" s="152"/>
      <c r="U154" s="149"/>
      <c r="V154" s="152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  <c r="BI154" s="149"/>
      <c r="BJ154" s="149"/>
      <c r="BK154" s="149"/>
      <c r="BL154" s="149"/>
      <c r="BM154" s="149"/>
      <c r="BN154" s="149"/>
      <c r="BO154" s="149"/>
      <c r="BP154" s="149">
        <v>12.338436672926584</v>
      </c>
      <c r="BQ154" s="149">
        <f t="shared" ca="1" si="11"/>
        <v>11.95938507367852</v>
      </c>
      <c r="BR154" s="149">
        <v>19.234832081545338</v>
      </c>
      <c r="BS154" s="149">
        <v>18.995450937571217</v>
      </c>
      <c r="BT154" s="149">
        <f t="shared" ca="1" si="10"/>
        <v>616.82121789264045</v>
      </c>
      <c r="BU154" s="153">
        <v>27242.370904695032</v>
      </c>
      <c r="BV154" s="149">
        <f t="shared" ca="1" si="12"/>
        <v>4.6545728800324549E-3</v>
      </c>
      <c r="BW154" s="1"/>
    </row>
    <row r="155" spans="1:75" x14ac:dyDescent="0.25">
      <c r="A155" s="149">
        <f t="shared" si="13"/>
        <v>154</v>
      </c>
      <c r="B155" s="150" t="s">
        <v>147</v>
      </c>
      <c r="C155" s="151">
        <v>0.45833333333333331</v>
      </c>
      <c r="D155" s="149" t="s">
        <v>142</v>
      </c>
      <c r="E155" s="149" t="s">
        <v>143</v>
      </c>
      <c r="F155" s="149" t="s">
        <v>144</v>
      </c>
      <c r="G155" s="149">
        <v>123456</v>
      </c>
      <c r="H155" s="149">
        <v>4</v>
      </c>
      <c r="I155" s="149">
        <v>29250</v>
      </c>
      <c r="J155" s="149" t="s">
        <v>137</v>
      </c>
      <c r="K155" s="149" t="s">
        <v>83</v>
      </c>
      <c r="L155" s="149" t="s">
        <v>81</v>
      </c>
      <c r="M155" s="149">
        <v>3</v>
      </c>
      <c r="N155" s="149">
        <v>2000</v>
      </c>
      <c r="O155" s="149">
        <v>2.1</v>
      </c>
      <c r="P155" s="149" t="s">
        <v>75</v>
      </c>
      <c r="Q155" s="149">
        <v>2.16E-5</v>
      </c>
      <c r="R155" s="149">
        <v>1965000</v>
      </c>
      <c r="S155" s="149"/>
      <c r="T155" s="152"/>
      <c r="U155" s="149"/>
      <c r="V155" s="152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>
        <v>14.884739995970254</v>
      </c>
      <c r="BQ155" s="149">
        <f t="shared" ca="1" si="11"/>
        <v>14.738475529239794</v>
      </c>
      <c r="BR155" s="149">
        <v>18.207135210084846</v>
      </c>
      <c r="BS155" s="149">
        <v>18.15166477683049</v>
      </c>
      <c r="BT155" s="149">
        <f t="shared" ca="1" si="10"/>
        <v>782.625134752392</v>
      </c>
      <c r="BU155" s="153">
        <v>27437.477664468825</v>
      </c>
      <c r="BV155" s="149">
        <f t="shared" ca="1" si="12"/>
        <v>2.5000946922076699E-2</v>
      </c>
      <c r="BW155" s="1"/>
    </row>
    <row r="156" spans="1:75" x14ac:dyDescent="0.25">
      <c r="A156" s="149">
        <f t="shared" si="13"/>
        <v>155</v>
      </c>
      <c r="B156" s="150" t="s">
        <v>147</v>
      </c>
      <c r="C156" s="151">
        <v>0.45833333333333331</v>
      </c>
      <c r="D156" s="149" t="s">
        <v>142</v>
      </c>
      <c r="E156" s="149" t="s">
        <v>143</v>
      </c>
      <c r="F156" s="149" t="s">
        <v>144</v>
      </c>
      <c r="G156" s="149">
        <v>123456</v>
      </c>
      <c r="H156" s="149">
        <v>4</v>
      </c>
      <c r="I156" s="149">
        <v>29250</v>
      </c>
      <c r="J156" s="149" t="s">
        <v>137</v>
      </c>
      <c r="K156" s="149" t="s">
        <v>83</v>
      </c>
      <c r="L156" s="149" t="s">
        <v>81</v>
      </c>
      <c r="M156" s="149">
        <v>3</v>
      </c>
      <c r="N156" s="149">
        <v>2000</v>
      </c>
      <c r="O156" s="149">
        <v>2.1</v>
      </c>
      <c r="P156" s="149" t="s">
        <v>75</v>
      </c>
      <c r="Q156" s="149">
        <v>2.16E-5</v>
      </c>
      <c r="R156" s="149">
        <v>1965000</v>
      </c>
      <c r="S156" s="149"/>
      <c r="T156" s="152"/>
      <c r="U156" s="149"/>
      <c r="V156" s="152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>
        <v>12.296384011999768</v>
      </c>
      <c r="BQ156" s="149">
        <f t="shared" ca="1" si="11"/>
        <v>12.063697720016235</v>
      </c>
      <c r="BR156" s="149">
        <v>22.095067648194473</v>
      </c>
      <c r="BS156" s="149">
        <v>21.898286660923244</v>
      </c>
      <c r="BT156" s="149">
        <f t="shared" ca="1" si="10"/>
        <v>697.97547663693911</v>
      </c>
      <c r="BU156" s="153">
        <v>28306.999145993148</v>
      </c>
      <c r="BV156" s="149">
        <f t="shared" ca="1" si="12"/>
        <v>5.9489738625940246E-3</v>
      </c>
      <c r="BW156" s="1"/>
    </row>
    <row r="157" spans="1:75" x14ac:dyDescent="0.25">
      <c r="A157" s="149">
        <f t="shared" si="13"/>
        <v>156</v>
      </c>
      <c r="B157" s="150" t="s">
        <v>147</v>
      </c>
      <c r="C157" s="151">
        <v>0.45833333333333331</v>
      </c>
      <c r="D157" s="149" t="s">
        <v>142</v>
      </c>
      <c r="E157" s="149" t="s">
        <v>143</v>
      </c>
      <c r="F157" s="149" t="s">
        <v>144</v>
      </c>
      <c r="G157" s="149">
        <v>123821</v>
      </c>
      <c r="H157" s="149">
        <v>4</v>
      </c>
      <c r="I157" s="149">
        <v>28045</v>
      </c>
      <c r="J157" s="149" t="s">
        <v>145</v>
      </c>
      <c r="K157" s="149" t="s">
        <v>83</v>
      </c>
      <c r="L157" s="149" t="s">
        <v>81</v>
      </c>
      <c r="M157" s="149">
        <v>3</v>
      </c>
      <c r="N157" s="149">
        <v>2000</v>
      </c>
      <c r="O157" s="149">
        <v>2.1</v>
      </c>
      <c r="P157" s="149" t="s">
        <v>75</v>
      </c>
      <c r="Q157" s="149">
        <v>2.16E-5</v>
      </c>
      <c r="R157" s="149">
        <v>1965000</v>
      </c>
      <c r="S157" s="149"/>
      <c r="T157" s="152"/>
      <c r="U157" s="149"/>
      <c r="V157" s="152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>
        <v>13.055471555622272</v>
      </c>
      <c r="BQ157" s="149">
        <f t="shared" ca="1" si="11"/>
        <v>12.704298266404264</v>
      </c>
      <c r="BR157" s="149">
        <v>22.56674760665237</v>
      </c>
      <c r="BS157" s="149">
        <v>22.370963359686346</v>
      </c>
      <c r="BT157" s="149">
        <f t="shared" ca="1" si="10"/>
        <v>661.72572939628139</v>
      </c>
      <c r="BU157" s="153">
        <v>28440.623654368097</v>
      </c>
      <c r="BV157" s="149">
        <f t="shared" ca="1" si="12"/>
        <v>1.9718231315391341E-2</v>
      </c>
      <c r="BW157" s="1"/>
    </row>
    <row r="158" spans="1:75" x14ac:dyDescent="0.25">
      <c r="A158" s="149">
        <f t="shared" si="13"/>
        <v>157</v>
      </c>
      <c r="B158" s="150" t="s">
        <v>147</v>
      </c>
      <c r="C158" s="151">
        <v>0.45833333333333331</v>
      </c>
      <c r="D158" s="149" t="s">
        <v>142</v>
      </c>
      <c r="E158" s="149" t="s">
        <v>143</v>
      </c>
      <c r="F158" s="149" t="s">
        <v>144</v>
      </c>
      <c r="G158" s="149">
        <v>123821</v>
      </c>
      <c r="H158" s="149">
        <v>4</v>
      </c>
      <c r="I158" s="149">
        <v>28045</v>
      </c>
      <c r="J158" s="149" t="s">
        <v>145</v>
      </c>
      <c r="K158" s="149" t="s">
        <v>83</v>
      </c>
      <c r="L158" s="149" t="s">
        <v>81</v>
      </c>
      <c r="M158" s="149">
        <v>3</v>
      </c>
      <c r="N158" s="149">
        <v>2000</v>
      </c>
      <c r="O158" s="149">
        <v>2.1</v>
      </c>
      <c r="P158" s="149" t="s">
        <v>75</v>
      </c>
      <c r="Q158" s="149">
        <v>2.16E-5</v>
      </c>
      <c r="R158" s="149">
        <v>1965000</v>
      </c>
      <c r="S158" s="149"/>
      <c r="T158" s="152"/>
      <c r="U158" s="149"/>
      <c r="V158" s="152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>
        <v>14.003082592925582</v>
      </c>
      <c r="BQ158" s="149">
        <f t="shared" ca="1" si="11"/>
        <v>13.859186276985957</v>
      </c>
      <c r="BR158" s="149">
        <v>20.096554186986957</v>
      </c>
      <c r="BS158" s="149">
        <v>19.6823135735699</v>
      </c>
      <c r="BT158" s="149">
        <f t="shared" ca="1" si="10"/>
        <v>787.44310215578741</v>
      </c>
      <c r="BU158" s="153">
        <v>29818.51543218183</v>
      </c>
      <c r="BV158" s="149">
        <f t="shared" ca="1" si="12"/>
        <v>1.6802408858165842E-2</v>
      </c>
      <c r="BW158" s="1"/>
    </row>
    <row r="159" spans="1:75" x14ac:dyDescent="0.25">
      <c r="A159" s="149">
        <f t="shared" si="13"/>
        <v>158</v>
      </c>
      <c r="B159" s="150" t="s">
        <v>147</v>
      </c>
      <c r="C159" s="151">
        <v>0.45833333333333331</v>
      </c>
      <c r="D159" s="149" t="s">
        <v>142</v>
      </c>
      <c r="E159" s="149" t="s">
        <v>143</v>
      </c>
      <c r="F159" s="149" t="s">
        <v>144</v>
      </c>
      <c r="G159" s="149">
        <v>123456</v>
      </c>
      <c r="H159" s="149">
        <v>4</v>
      </c>
      <c r="I159" s="149">
        <v>29250</v>
      </c>
      <c r="J159" s="149" t="s">
        <v>137</v>
      </c>
      <c r="K159" s="149" t="s">
        <v>83</v>
      </c>
      <c r="L159" s="149" t="s">
        <v>81</v>
      </c>
      <c r="M159" s="149">
        <v>3</v>
      </c>
      <c r="N159" s="149">
        <v>2000</v>
      </c>
      <c r="O159" s="149">
        <v>2.1</v>
      </c>
      <c r="P159" s="149" t="s">
        <v>75</v>
      </c>
      <c r="Q159" s="149">
        <v>2.16E-5</v>
      </c>
      <c r="R159" s="149">
        <v>1965000</v>
      </c>
      <c r="S159" s="149"/>
      <c r="T159" s="152"/>
      <c r="U159" s="149"/>
      <c r="V159" s="152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  <c r="BI159" s="149"/>
      <c r="BJ159" s="149"/>
      <c r="BK159" s="149"/>
      <c r="BL159" s="149"/>
      <c r="BM159" s="149"/>
      <c r="BN159" s="149"/>
      <c r="BO159" s="149"/>
      <c r="BP159" s="149">
        <v>13.010468183909548</v>
      </c>
      <c r="BQ159" s="149">
        <f t="shared" ca="1" si="11"/>
        <v>12.777180570771666</v>
      </c>
      <c r="BR159" s="149">
        <v>20.008935596789328</v>
      </c>
      <c r="BS159" s="149">
        <v>19.779515289127549</v>
      </c>
      <c r="BT159" s="149">
        <f t="shared" ca="1" si="10"/>
        <v>790.97257583481041</v>
      </c>
      <c r="BU159" s="153">
        <v>26757.999674115646</v>
      </c>
      <c r="BV159" s="149">
        <f t="shared" ca="1" si="12"/>
        <v>1.8932225604395406E-2</v>
      </c>
      <c r="BW159" s="1"/>
    </row>
    <row r="160" spans="1:75" x14ac:dyDescent="0.25">
      <c r="A160" s="149">
        <f t="shared" si="13"/>
        <v>159</v>
      </c>
      <c r="B160" s="150" t="s">
        <v>147</v>
      </c>
      <c r="C160" s="151">
        <v>0.45833333333333331</v>
      </c>
      <c r="D160" s="149" t="s">
        <v>142</v>
      </c>
      <c r="E160" s="149" t="s">
        <v>143</v>
      </c>
      <c r="F160" s="149" t="s">
        <v>144</v>
      </c>
      <c r="G160" s="149">
        <v>123456</v>
      </c>
      <c r="H160" s="149">
        <v>4</v>
      </c>
      <c r="I160" s="149">
        <v>29250</v>
      </c>
      <c r="J160" s="149" t="s">
        <v>137</v>
      </c>
      <c r="K160" s="149" t="s">
        <v>83</v>
      </c>
      <c r="L160" s="149" t="s">
        <v>81</v>
      </c>
      <c r="M160" s="149">
        <v>3</v>
      </c>
      <c r="N160" s="149">
        <v>2000</v>
      </c>
      <c r="O160" s="149">
        <v>2.1</v>
      </c>
      <c r="P160" s="149" t="s">
        <v>75</v>
      </c>
      <c r="Q160" s="149">
        <v>2.16E-5</v>
      </c>
      <c r="R160" s="149">
        <v>1965000</v>
      </c>
      <c r="S160" s="149"/>
      <c r="T160" s="152"/>
      <c r="U160" s="149"/>
      <c r="V160" s="152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>
        <v>14.544625921939906</v>
      </c>
      <c r="BQ160" s="149">
        <f t="shared" ca="1" si="11"/>
        <v>14.237598134717009</v>
      </c>
      <c r="BR160" s="149">
        <v>24.428156573872386</v>
      </c>
      <c r="BS160" s="149">
        <v>24.145555498367191</v>
      </c>
      <c r="BT160" s="149">
        <f t="shared" ca="1" si="10"/>
        <v>794.28101713165813</v>
      </c>
      <c r="BU160" s="153">
        <v>29033.792939674651</v>
      </c>
      <c r="BV160" s="149">
        <f t="shared" ca="1" si="12"/>
        <v>1.4848036773644326E-2</v>
      </c>
      <c r="BW160" s="1"/>
    </row>
    <row r="161" spans="1:75" x14ac:dyDescent="0.25">
      <c r="A161" s="149">
        <f t="shared" si="13"/>
        <v>160</v>
      </c>
      <c r="B161" s="150" t="s">
        <v>147</v>
      </c>
      <c r="C161" s="151">
        <v>0.45833333333333331</v>
      </c>
      <c r="D161" s="149" t="s">
        <v>142</v>
      </c>
      <c r="E161" s="149" t="s">
        <v>143</v>
      </c>
      <c r="F161" s="149" t="s">
        <v>144</v>
      </c>
      <c r="G161" s="149">
        <v>123821</v>
      </c>
      <c r="H161" s="149">
        <v>4</v>
      </c>
      <c r="I161" s="149">
        <v>28045</v>
      </c>
      <c r="J161" s="149" t="s">
        <v>145</v>
      </c>
      <c r="K161" s="149" t="s">
        <v>83</v>
      </c>
      <c r="L161" s="149" t="s">
        <v>81</v>
      </c>
      <c r="M161" s="149">
        <v>3</v>
      </c>
      <c r="N161" s="149">
        <v>2000</v>
      </c>
      <c r="O161" s="149">
        <v>2.1</v>
      </c>
      <c r="P161" s="149" t="s">
        <v>75</v>
      </c>
      <c r="Q161" s="149">
        <v>2.16E-5</v>
      </c>
      <c r="R161" s="149">
        <v>1965000</v>
      </c>
      <c r="S161" s="149"/>
      <c r="T161" s="152"/>
      <c r="U161" s="149"/>
      <c r="V161" s="152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>
        <v>14.629348157419747</v>
      </c>
      <c r="BQ161" s="149">
        <f t="shared" ca="1" si="11"/>
        <v>14.48219009503849</v>
      </c>
      <c r="BR161" s="149">
        <v>22.053421276388647</v>
      </c>
      <c r="BS161" s="149">
        <v>21.875115463222482</v>
      </c>
      <c r="BT161" s="149">
        <f t="shared" ca="1" si="10"/>
        <v>756.68158423311024</v>
      </c>
      <c r="BU161" s="153">
        <v>29186.316895705964</v>
      </c>
      <c r="BV161" s="149">
        <f t="shared" ca="1" si="12"/>
        <v>2.7088227040262751E-2</v>
      </c>
      <c r="BW161" s="1"/>
    </row>
    <row r="162" spans="1:75" x14ac:dyDescent="0.25">
      <c r="A162" s="149">
        <f t="shared" si="13"/>
        <v>161</v>
      </c>
      <c r="B162" s="150" t="s">
        <v>147</v>
      </c>
      <c r="C162" s="151">
        <v>0.45833333333333331</v>
      </c>
      <c r="D162" s="149" t="s">
        <v>142</v>
      </c>
      <c r="E162" s="149" t="s">
        <v>143</v>
      </c>
      <c r="F162" s="149" t="s">
        <v>144</v>
      </c>
      <c r="G162" s="149">
        <v>123821</v>
      </c>
      <c r="H162" s="149">
        <v>4</v>
      </c>
      <c r="I162" s="149">
        <v>28045</v>
      </c>
      <c r="J162" s="149" t="s">
        <v>145</v>
      </c>
      <c r="K162" s="149" t="s">
        <v>83</v>
      </c>
      <c r="L162" s="149" t="s">
        <v>81</v>
      </c>
      <c r="M162" s="149">
        <v>3</v>
      </c>
      <c r="N162" s="149">
        <v>2000</v>
      </c>
      <c r="O162" s="149">
        <v>2.1</v>
      </c>
      <c r="P162" s="149" t="s">
        <v>75</v>
      </c>
      <c r="Q162" s="149">
        <v>2.16E-5</v>
      </c>
      <c r="R162" s="149">
        <v>1965000</v>
      </c>
      <c r="S162" s="149"/>
      <c r="T162" s="152"/>
      <c r="U162" s="149"/>
      <c r="V162" s="152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>
        <v>13.671001552173268</v>
      </c>
      <c r="BQ162" s="149">
        <f t="shared" ca="1" si="11"/>
        <v>13.204897644049833</v>
      </c>
      <c r="BR162" s="149">
        <v>23.800425492434393</v>
      </c>
      <c r="BS162" s="149">
        <v>23.574735156202184</v>
      </c>
      <c r="BT162" s="149">
        <f t="shared" ca="1" si="10"/>
        <v>716.20808449784067</v>
      </c>
      <c r="BU162" s="153">
        <v>29137.112145736603</v>
      </c>
      <c r="BV162" s="149">
        <f t="shared" ca="1" si="12"/>
        <v>1.1597883267398561E-2</v>
      </c>
      <c r="BW162" s="1"/>
    </row>
    <row r="163" spans="1:75" x14ac:dyDescent="0.25">
      <c r="A163" s="149">
        <f t="shared" si="13"/>
        <v>162</v>
      </c>
      <c r="B163" s="150" t="s">
        <v>147</v>
      </c>
      <c r="C163" s="151">
        <v>0.45833333333333331</v>
      </c>
      <c r="D163" s="149" t="s">
        <v>142</v>
      </c>
      <c r="E163" s="149" t="s">
        <v>143</v>
      </c>
      <c r="F163" s="149" t="s">
        <v>144</v>
      </c>
      <c r="G163" s="149">
        <v>123456</v>
      </c>
      <c r="H163" s="149">
        <v>4</v>
      </c>
      <c r="I163" s="149">
        <v>29250</v>
      </c>
      <c r="J163" s="149" t="s">
        <v>137</v>
      </c>
      <c r="K163" s="149" t="s">
        <v>83</v>
      </c>
      <c r="L163" s="149" t="s">
        <v>81</v>
      </c>
      <c r="M163" s="149">
        <v>3</v>
      </c>
      <c r="N163" s="149">
        <v>2000</v>
      </c>
      <c r="O163" s="149">
        <v>2.1</v>
      </c>
      <c r="P163" s="149" t="s">
        <v>75</v>
      </c>
      <c r="Q163" s="149">
        <v>2.16E-5</v>
      </c>
      <c r="R163" s="149">
        <v>1965000</v>
      </c>
      <c r="S163" s="149"/>
      <c r="T163" s="152"/>
      <c r="U163" s="149"/>
      <c r="V163" s="152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  <c r="BI163" s="149"/>
      <c r="BJ163" s="149"/>
      <c r="BK163" s="149"/>
      <c r="BL163" s="149"/>
      <c r="BM163" s="149"/>
      <c r="BN163" s="149"/>
      <c r="BO163" s="149"/>
      <c r="BP163" s="149">
        <v>13.764739433253395</v>
      </c>
      <c r="BQ163" s="149">
        <f t="shared" ca="1" si="11"/>
        <v>13.525193124630237</v>
      </c>
      <c r="BR163" s="149">
        <v>22.482239775166732</v>
      </c>
      <c r="BS163" s="149">
        <v>22.056896248549521</v>
      </c>
      <c r="BT163" s="149">
        <f t="shared" ca="1" si="10"/>
        <v>731.66232170549245</v>
      </c>
      <c r="BU163" s="153">
        <v>27279.867180871097</v>
      </c>
      <c r="BV163" s="149">
        <f t="shared" ca="1" si="12"/>
        <v>8.7251603212225599E-3</v>
      </c>
      <c r="BW163" s="1"/>
    </row>
    <row r="164" spans="1:75" x14ac:dyDescent="0.25">
      <c r="A164" s="149">
        <f t="shared" si="13"/>
        <v>163</v>
      </c>
      <c r="B164" s="150" t="s">
        <v>147</v>
      </c>
      <c r="C164" s="151">
        <v>0.45833333333333331</v>
      </c>
      <c r="D164" s="149" t="s">
        <v>142</v>
      </c>
      <c r="E164" s="149" t="s">
        <v>143</v>
      </c>
      <c r="F164" s="149" t="s">
        <v>144</v>
      </c>
      <c r="G164" s="149">
        <v>123456</v>
      </c>
      <c r="H164" s="149">
        <v>4</v>
      </c>
      <c r="I164" s="149">
        <v>29250</v>
      </c>
      <c r="J164" s="149" t="s">
        <v>137</v>
      </c>
      <c r="K164" s="149" t="s">
        <v>83</v>
      </c>
      <c r="L164" s="149" t="s">
        <v>81</v>
      </c>
      <c r="M164" s="149">
        <v>3</v>
      </c>
      <c r="N164" s="149">
        <v>2000</v>
      </c>
      <c r="O164" s="149">
        <v>2.1</v>
      </c>
      <c r="P164" s="149" t="s">
        <v>75</v>
      </c>
      <c r="Q164" s="149">
        <v>2.16E-5</v>
      </c>
      <c r="R164" s="149">
        <v>1965000</v>
      </c>
      <c r="S164" s="149"/>
      <c r="T164" s="152"/>
      <c r="U164" s="149"/>
      <c r="V164" s="152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  <c r="BI164" s="149"/>
      <c r="BJ164" s="149"/>
      <c r="BK164" s="149"/>
      <c r="BL164" s="149"/>
      <c r="BM164" s="149"/>
      <c r="BN164" s="149"/>
      <c r="BO164" s="149"/>
      <c r="BP164" s="149">
        <v>13.818389852074418</v>
      </c>
      <c r="BQ164" s="149">
        <f t="shared" ca="1" si="11"/>
        <v>13.407574705367811</v>
      </c>
      <c r="BR164" s="149">
        <v>20.249146846516641</v>
      </c>
      <c r="BS164" s="149">
        <v>20.152933847737774</v>
      </c>
      <c r="BT164" s="149">
        <f t="shared" ca="1" si="10"/>
        <v>626.45332196288166</v>
      </c>
      <c r="BU164" s="153">
        <v>27304.798480638623</v>
      </c>
      <c r="BV164" s="149">
        <f t="shared" ca="1" si="12"/>
        <v>2.2647693863297545E-2</v>
      </c>
      <c r="BW164" s="1"/>
    </row>
    <row r="165" spans="1:75" x14ac:dyDescent="0.25">
      <c r="A165" s="149">
        <f t="shared" si="13"/>
        <v>164</v>
      </c>
      <c r="B165" s="150" t="s">
        <v>147</v>
      </c>
      <c r="C165" s="151">
        <v>0.45833333333333331</v>
      </c>
      <c r="D165" s="149" t="s">
        <v>142</v>
      </c>
      <c r="E165" s="149" t="s">
        <v>143</v>
      </c>
      <c r="F165" s="149" t="s">
        <v>144</v>
      </c>
      <c r="G165" s="149">
        <v>123821</v>
      </c>
      <c r="H165" s="149">
        <v>4</v>
      </c>
      <c r="I165" s="149">
        <v>28045</v>
      </c>
      <c r="J165" s="149" t="s">
        <v>145</v>
      </c>
      <c r="K165" s="149" t="s">
        <v>83</v>
      </c>
      <c r="L165" s="149" t="s">
        <v>81</v>
      </c>
      <c r="M165" s="149">
        <v>3</v>
      </c>
      <c r="N165" s="149">
        <v>2000</v>
      </c>
      <c r="O165" s="149">
        <v>2.1</v>
      </c>
      <c r="P165" s="149" t="s">
        <v>75</v>
      </c>
      <c r="Q165" s="149">
        <v>2.16E-5</v>
      </c>
      <c r="R165" s="149">
        <v>1965000</v>
      </c>
      <c r="S165" s="149"/>
      <c r="T165" s="152"/>
      <c r="U165" s="149"/>
      <c r="V165" s="152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>
        <v>14.219525756889844</v>
      </c>
      <c r="BQ165" s="149">
        <f t="shared" ca="1" si="11"/>
        <v>14.155103337378911</v>
      </c>
      <c r="BR165" s="149">
        <v>21.187810180013088</v>
      </c>
      <c r="BS165" s="149">
        <v>20.93114826992058</v>
      </c>
      <c r="BT165" s="149">
        <f t="shared" ca="1" si="10"/>
        <v>774.991521513517</v>
      </c>
      <c r="BU165" s="153">
        <v>27418.431314806738</v>
      </c>
      <c r="BV165" s="149">
        <f t="shared" ca="1" si="12"/>
        <v>1.4703815046235174E-2</v>
      </c>
      <c r="BW165" s="1"/>
    </row>
    <row r="166" spans="1:75" x14ac:dyDescent="0.25">
      <c r="A166" s="149">
        <f t="shared" si="13"/>
        <v>165</v>
      </c>
      <c r="B166" s="150" t="s">
        <v>147</v>
      </c>
      <c r="C166" s="151">
        <v>0.45833333333333331</v>
      </c>
      <c r="D166" s="149" t="s">
        <v>142</v>
      </c>
      <c r="E166" s="149" t="s">
        <v>143</v>
      </c>
      <c r="F166" s="149" t="s">
        <v>144</v>
      </c>
      <c r="G166" s="149">
        <v>123821</v>
      </c>
      <c r="H166" s="149">
        <v>4</v>
      </c>
      <c r="I166" s="149">
        <v>28045</v>
      </c>
      <c r="J166" s="149" t="s">
        <v>145</v>
      </c>
      <c r="K166" s="149" t="s">
        <v>83</v>
      </c>
      <c r="L166" s="149" t="s">
        <v>81</v>
      </c>
      <c r="M166" s="149">
        <v>3</v>
      </c>
      <c r="N166" s="149">
        <v>2000</v>
      </c>
      <c r="O166" s="149">
        <v>2.1</v>
      </c>
      <c r="P166" s="149" t="s">
        <v>75</v>
      </c>
      <c r="Q166" s="149">
        <v>2.16E-5</v>
      </c>
      <c r="R166" s="149">
        <v>1965000</v>
      </c>
      <c r="S166" s="149"/>
      <c r="T166" s="152"/>
      <c r="U166" s="149"/>
      <c r="V166" s="152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  <c r="BI166" s="149"/>
      <c r="BJ166" s="149"/>
      <c r="BK166" s="149"/>
      <c r="BL166" s="149"/>
      <c r="BM166" s="149"/>
      <c r="BN166" s="149"/>
      <c r="BO166" s="149"/>
      <c r="BP166" s="149">
        <v>12.474403100280165</v>
      </c>
      <c r="BQ166" s="149">
        <f t="shared" ca="1" si="11"/>
        <v>12.455906221720914</v>
      </c>
      <c r="BR166" s="149">
        <v>19.965039101377837</v>
      </c>
      <c r="BS166" s="149">
        <v>19.467647910924708</v>
      </c>
      <c r="BT166" s="149">
        <f t="shared" ca="1" si="10"/>
        <v>642.47373251966826</v>
      </c>
      <c r="BU166" s="153">
        <v>29873.631753699508</v>
      </c>
      <c r="BV166" s="149">
        <f t="shared" ca="1" si="12"/>
        <v>8.3307249447513772E-3</v>
      </c>
      <c r="BW166" s="1"/>
    </row>
    <row r="167" spans="1:75" x14ac:dyDescent="0.25">
      <c r="A167" s="149">
        <f t="shared" si="13"/>
        <v>166</v>
      </c>
      <c r="B167" s="150" t="s">
        <v>147</v>
      </c>
      <c r="C167" s="151">
        <v>0.45833333333333331</v>
      </c>
      <c r="D167" s="149" t="s">
        <v>142</v>
      </c>
      <c r="E167" s="149" t="s">
        <v>143</v>
      </c>
      <c r="F167" s="149" t="s">
        <v>144</v>
      </c>
      <c r="G167" s="149">
        <v>123456</v>
      </c>
      <c r="H167" s="149">
        <v>4</v>
      </c>
      <c r="I167" s="149">
        <v>29250</v>
      </c>
      <c r="J167" s="149" t="s">
        <v>137</v>
      </c>
      <c r="K167" s="149" t="s">
        <v>83</v>
      </c>
      <c r="L167" s="149" t="s">
        <v>81</v>
      </c>
      <c r="M167" s="149">
        <v>3</v>
      </c>
      <c r="N167" s="149">
        <v>2000</v>
      </c>
      <c r="O167" s="149">
        <v>2.1</v>
      </c>
      <c r="P167" s="149" t="s">
        <v>75</v>
      </c>
      <c r="Q167" s="149">
        <v>2.16E-5</v>
      </c>
      <c r="R167" s="149">
        <v>1965000</v>
      </c>
      <c r="S167" s="149"/>
      <c r="T167" s="152"/>
      <c r="U167" s="149"/>
      <c r="V167" s="152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  <c r="BK167" s="149"/>
      <c r="BL167" s="149"/>
      <c r="BM167" s="149"/>
      <c r="BN167" s="149"/>
      <c r="BO167" s="149"/>
      <c r="BP167" s="149">
        <v>14.666386312844644</v>
      </c>
      <c r="BQ167" s="149">
        <f t="shared" ca="1" si="11"/>
        <v>14.547697397023045</v>
      </c>
      <c r="BR167" s="149">
        <v>18.15753762863541</v>
      </c>
      <c r="BS167" s="149">
        <v>18.130991819347969</v>
      </c>
      <c r="BT167" s="149">
        <f t="shared" ca="1" si="10"/>
        <v>760.95683435801925</v>
      </c>
      <c r="BU167" s="153">
        <v>29854.176118483418</v>
      </c>
      <c r="BV167" s="149">
        <f t="shared" ca="1" si="12"/>
        <v>2.1774717449189931E-2</v>
      </c>
      <c r="BW167" s="1"/>
    </row>
    <row r="168" spans="1:75" x14ac:dyDescent="0.25">
      <c r="A168" s="149">
        <f t="shared" si="13"/>
        <v>167</v>
      </c>
      <c r="B168" s="150" t="s">
        <v>147</v>
      </c>
      <c r="C168" s="151">
        <v>0.45833333333333331</v>
      </c>
      <c r="D168" s="149" t="s">
        <v>142</v>
      </c>
      <c r="E168" s="149" t="s">
        <v>143</v>
      </c>
      <c r="F168" s="149" t="s">
        <v>144</v>
      </c>
      <c r="G168" s="149">
        <v>123456</v>
      </c>
      <c r="H168" s="149">
        <v>4</v>
      </c>
      <c r="I168" s="149">
        <v>29250</v>
      </c>
      <c r="J168" s="149" t="s">
        <v>137</v>
      </c>
      <c r="K168" s="149" t="s">
        <v>83</v>
      </c>
      <c r="L168" s="149" t="s">
        <v>81</v>
      </c>
      <c r="M168" s="149">
        <v>3</v>
      </c>
      <c r="N168" s="149">
        <v>2000</v>
      </c>
      <c r="O168" s="149">
        <v>2.1</v>
      </c>
      <c r="P168" s="149" t="s">
        <v>75</v>
      </c>
      <c r="Q168" s="149">
        <v>2.16E-5</v>
      </c>
      <c r="R168" s="149">
        <v>1965000</v>
      </c>
      <c r="S168" s="149"/>
      <c r="T168" s="152"/>
      <c r="U168" s="149"/>
      <c r="V168" s="152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  <c r="BI168" s="149"/>
      <c r="BJ168" s="149"/>
      <c r="BK168" s="149"/>
      <c r="BL168" s="149"/>
      <c r="BM168" s="149"/>
      <c r="BN168" s="149"/>
      <c r="BO168" s="149"/>
      <c r="BP168" s="149">
        <v>12.87422554824732</v>
      </c>
      <c r="BQ168" s="149">
        <f t="shared" ca="1" si="11"/>
        <v>12.810580124923783</v>
      </c>
      <c r="BR168" s="149">
        <v>23.793284601597929</v>
      </c>
      <c r="BS168" s="149">
        <v>23.70701478172273</v>
      </c>
      <c r="BT168" s="149">
        <f t="shared" ca="1" si="10"/>
        <v>784.23322225728612</v>
      </c>
      <c r="BU168" s="153">
        <v>28707.571358390949</v>
      </c>
      <c r="BV168" s="149">
        <f t="shared" ca="1" si="12"/>
        <v>2.2017663965057652E-2</v>
      </c>
      <c r="BW168" s="1"/>
    </row>
    <row r="169" spans="1:75" x14ac:dyDescent="0.25">
      <c r="A169" s="149">
        <f t="shared" si="13"/>
        <v>168</v>
      </c>
      <c r="B169" s="150" t="s">
        <v>147</v>
      </c>
      <c r="C169" s="151">
        <v>0.45833333333333331</v>
      </c>
      <c r="D169" s="149" t="s">
        <v>142</v>
      </c>
      <c r="E169" s="149" t="s">
        <v>143</v>
      </c>
      <c r="F169" s="149" t="s">
        <v>144</v>
      </c>
      <c r="G169" s="149">
        <v>123821</v>
      </c>
      <c r="H169" s="149">
        <v>4</v>
      </c>
      <c r="I169" s="149">
        <v>28045</v>
      </c>
      <c r="J169" s="149" t="s">
        <v>145</v>
      </c>
      <c r="K169" s="149" t="s">
        <v>83</v>
      </c>
      <c r="L169" s="149" t="s">
        <v>81</v>
      </c>
      <c r="M169" s="149">
        <v>3</v>
      </c>
      <c r="N169" s="149">
        <v>2000</v>
      </c>
      <c r="O169" s="149">
        <v>2.1</v>
      </c>
      <c r="P169" s="149" t="s">
        <v>75</v>
      </c>
      <c r="Q169" s="149">
        <v>2.16E-5</v>
      </c>
      <c r="R169" s="149">
        <v>1965000</v>
      </c>
      <c r="S169" s="149"/>
      <c r="T169" s="152"/>
      <c r="U169" s="149"/>
      <c r="V169" s="152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  <c r="BI169" s="149"/>
      <c r="BJ169" s="149"/>
      <c r="BK169" s="149"/>
      <c r="BL169" s="149"/>
      <c r="BM169" s="149"/>
      <c r="BN169" s="149"/>
      <c r="BO169" s="149"/>
      <c r="BP169" s="149">
        <v>12.822764822555607</v>
      </c>
      <c r="BQ169" s="149">
        <f t="shared" ca="1" si="11"/>
        <v>12.495316667694604</v>
      </c>
      <c r="BR169" s="149">
        <v>20.468503816224661</v>
      </c>
      <c r="BS169" s="149">
        <v>20.216511771390373</v>
      </c>
      <c r="BT169" s="149">
        <f t="shared" ca="1" si="10"/>
        <v>783.56983247030075</v>
      </c>
      <c r="BU169" s="153">
        <v>29742.976611318507</v>
      </c>
      <c r="BV169" s="149">
        <f t="shared" ca="1" si="12"/>
        <v>1.4977428110714732E-2</v>
      </c>
      <c r="BW169" s="1"/>
    </row>
    <row r="170" spans="1:75" x14ac:dyDescent="0.25">
      <c r="A170" s="149">
        <f t="shared" si="13"/>
        <v>169</v>
      </c>
      <c r="B170" s="150" t="s">
        <v>147</v>
      </c>
      <c r="C170" s="151">
        <v>0.45833333333333331</v>
      </c>
      <c r="D170" s="149" t="s">
        <v>142</v>
      </c>
      <c r="E170" s="149" t="s">
        <v>143</v>
      </c>
      <c r="F170" s="149" t="s">
        <v>144</v>
      </c>
      <c r="G170" s="149">
        <v>123821</v>
      </c>
      <c r="H170" s="149">
        <v>4</v>
      </c>
      <c r="I170" s="149">
        <v>28045</v>
      </c>
      <c r="J170" s="149" t="s">
        <v>145</v>
      </c>
      <c r="K170" s="149" t="s">
        <v>83</v>
      </c>
      <c r="L170" s="149" t="s">
        <v>81</v>
      </c>
      <c r="M170" s="149">
        <v>3</v>
      </c>
      <c r="N170" s="149">
        <v>2000</v>
      </c>
      <c r="O170" s="149">
        <v>2.1</v>
      </c>
      <c r="P170" s="149" t="s">
        <v>75</v>
      </c>
      <c r="Q170" s="149">
        <v>2.16E-5</v>
      </c>
      <c r="R170" s="149">
        <v>1965000</v>
      </c>
      <c r="S170" s="149"/>
      <c r="T170" s="152"/>
      <c r="U170" s="149"/>
      <c r="V170" s="152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  <c r="BI170" s="149"/>
      <c r="BJ170" s="149"/>
      <c r="BK170" s="149"/>
      <c r="BL170" s="149"/>
      <c r="BM170" s="149"/>
      <c r="BN170" s="149"/>
      <c r="BO170" s="149"/>
      <c r="BP170" s="149">
        <v>13.985411124613631</v>
      </c>
      <c r="BQ170" s="149">
        <f t="shared" ca="1" si="11"/>
        <v>13.86357845785207</v>
      </c>
      <c r="BR170" s="149">
        <v>20.166463147258359</v>
      </c>
      <c r="BS170" s="149">
        <v>20.081113267416153</v>
      </c>
      <c r="BT170" s="149">
        <f t="shared" ca="1" si="10"/>
        <v>609.31198719808822</v>
      </c>
      <c r="BU170" s="153">
        <v>29302.529628096006</v>
      </c>
      <c r="BV170" s="149">
        <f t="shared" ca="1" si="12"/>
        <v>1.0734254035932714E-2</v>
      </c>
      <c r="BW170" s="1"/>
    </row>
    <row r="171" spans="1:75" x14ac:dyDescent="0.25">
      <c r="A171" s="149">
        <f t="shared" si="13"/>
        <v>170</v>
      </c>
      <c r="B171" s="150" t="s">
        <v>147</v>
      </c>
      <c r="C171" s="151">
        <v>0.45833333333333331</v>
      </c>
      <c r="D171" s="149" t="s">
        <v>142</v>
      </c>
      <c r="E171" s="149" t="s">
        <v>143</v>
      </c>
      <c r="F171" s="149" t="s">
        <v>144</v>
      </c>
      <c r="G171" s="149">
        <v>123456</v>
      </c>
      <c r="H171" s="149">
        <v>4</v>
      </c>
      <c r="I171" s="149">
        <v>29250</v>
      </c>
      <c r="J171" s="149" t="s">
        <v>137</v>
      </c>
      <c r="K171" s="149" t="s">
        <v>83</v>
      </c>
      <c r="L171" s="149" t="s">
        <v>81</v>
      </c>
      <c r="M171" s="149">
        <v>3</v>
      </c>
      <c r="N171" s="149">
        <v>2000</v>
      </c>
      <c r="O171" s="149">
        <v>2.1</v>
      </c>
      <c r="P171" s="149" t="s">
        <v>75</v>
      </c>
      <c r="Q171" s="149">
        <v>2.16E-5</v>
      </c>
      <c r="R171" s="149">
        <v>1965000</v>
      </c>
      <c r="S171" s="149"/>
      <c r="T171" s="152"/>
      <c r="U171" s="149"/>
      <c r="V171" s="152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  <c r="BI171" s="149"/>
      <c r="BJ171" s="149"/>
      <c r="BK171" s="149"/>
      <c r="BL171" s="149"/>
      <c r="BM171" s="149"/>
      <c r="BN171" s="149"/>
      <c r="BO171" s="149"/>
      <c r="BP171" s="149">
        <v>12.393225007084887</v>
      </c>
      <c r="BQ171" s="149">
        <f t="shared" ca="1" si="11"/>
        <v>12.336053069425146</v>
      </c>
      <c r="BR171" s="149">
        <v>18.102859181341252</v>
      </c>
      <c r="BS171" s="149">
        <v>17.741705008375355</v>
      </c>
      <c r="BT171" s="149">
        <f t="shared" ca="1" si="10"/>
        <v>637.7555792254384</v>
      </c>
      <c r="BU171" s="153">
        <v>27342.791009463785</v>
      </c>
      <c r="BV171" s="149">
        <f t="shared" ca="1" si="12"/>
        <v>2.6184022493629985E-2</v>
      </c>
      <c r="BW171" s="1"/>
    </row>
    <row r="172" spans="1:75" x14ac:dyDescent="0.25">
      <c r="A172" s="149">
        <f t="shared" si="13"/>
        <v>171</v>
      </c>
      <c r="B172" s="150" t="s">
        <v>147</v>
      </c>
      <c r="C172" s="151">
        <v>0.45833333333333331</v>
      </c>
      <c r="D172" s="149" t="s">
        <v>142</v>
      </c>
      <c r="E172" s="149" t="s">
        <v>143</v>
      </c>
      <c r="F172" s="149" t="s">
        <v>144</v>
      </c>
      <c r="G172" s="149">
        <v>123456</v>
      </c>
      <c r="H172" s="149">
        <v>4</v>
      </c>
      <c r="I172" s="149">
        <v>29250</v>
      </c>
      <c r="J172" s="149" t="s">
        <v>137</v>
      </c>
      <c r="K172" s="149" t="s">
        <v>83</v>
      </c>
      <c r="L172" s="149" t="s">
        <v>81</v>
      </c>
      <c r="M172" s="149">
        <v>3</v>
      </c>
      <c r="N172" s="149">
        <v>2000</v>
      </c>
      <c r="O172" s="149">
        <v>2.1</v>
      </c>
      <c r="P172" s="149" t="s">
        <v>75</v>
      </c>
      <c r="Q172" s="149">
        <v>2.16E-5</v>
      </c>
      <c r="R172" s="149">
        <v>1965000</v>
      </c>
      <c r="S172" s="149"/>
      <c r="T172" s="152"/>
      <c r="U172" s="149"/>
      <c r="V172" s="152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>
        <v>12.36094492510597</v>
      </c>
      <c r="BQ172" s="149">
        <f t="shared" ca="1" si="11"/>
        <v>11.920078088049772</v>
      </c>
      <c r="BR172" s="149">
        <v>22.759068621048876</v>
      </c>
      <c r="BS172" s="149">
        <v>22.696543039090848</v>
      </c>
      <c r="BT172" s="149">
        <f t="shared" ca="1" si="10"/>
        <v>642.25735710853098</v>
      </c>
      <c r="BU172" s="153">
        <v>29529.785127733488</v>
      </c>
      <c r="BV172" s="149">
        <f t="shared" ca="1" si="12"/>
        <v>8.5754639151946286E-3</v>
      </c>
      <c r="BW172" s="1"/>
    </row>
    <row r="173" spans="1:75" x14ac:dyDescent="0.25">
      <c r="A173" s="149">
        <f t="shared" si="13"/>
        <v>172</v>
      </c>
      <c r="B173" s="150" t="s">
        <v>147</v>
      </c>
      <c r="C173" s="151">
        <v>0.45833333333333331</v>
      </c>
      <c r="D173" s="149" t="s">
        <v>142</v>
      </c>
      <c r="E173" s="149" t="s">
        <v>143</v>
      </c>
      <c r="F173" s="149" t="s">
        <v>144</v>
      </c>
      <c r="G173" s="149">
        <v>123821</v>
      </c>
      <c r="H173" s="149">
        <v>4</v>
      </c>
      <c r="I173" s="149">
        <v>28045</v>
      </c>
      <c r="J173" s="149" t="s">
        <v>145</v>
      </c>
      <c r="K173" s="149" t="s">
        <v>83</v>
      </c>
      <c r="L173" s="149" t="s">
        <v>81</v>
      </c>
      <c r="M173" s="149">
        <v>3</v>
      </c>
      <c r="N173" s="149">
        <v>2000</v>
      </c>
      <c r="O173" s="149">
        <v>2.1</v>
      </c>
      <c r="P173" s="149" t="s">
        <v>75</v>
      </c>
      <c r="Q173" s="149">
        <v>2.16E-5</v>
      </c>
      <c r="R173" s="149">
        <v>1965000</v>
      </c>
      <c r="S173" s="149"/>
      <c r="T173" s="152"/>
      <c r="U173" s="149"/>
      <c r="V173" s="152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  <c r="BK173" s="149"/>
      <c r="BL173" s="149"/>
      <c r="BM173" s="149"/>
      <c r="BN173" s="149"/>
      <c r="BO173" s="149"/>
      <c r="BP173" s="149">
        <v>14.808431506681064</v>
      </c>
      <c r="BQ173" s="149">
        <f t="shared" ca="1" si="11"/>
        <v>14.346646314841477</v>
      </c>
      <c r="BR173" s="149">
        <v>23.670803043427604</v>
      </c>
      <c r="BS173" s="149">
        <v>23.215654884154123</v>
      </c>
      <c r="BT173" s="149">
        <f t="shared" ca="1" si="10"/>
        <v>721.43884424972305</v>
      </c>
      <c r="BU173" s="153">
        <v>28734.433589637243</v>
      </c>
      <c r="BV173" s="149">
        <f t="shared" ca="1" si="12"/>
        <v>2.3716711670898501E-2</v>
      </c>
      <c r="BW173" s="1"/>
    </row>
    <row r="174" spans="1:75" x14ac:dyDescent="0.25">
      <c r="A174" s="149">
        <f t="shared" si="13"/>
        <v>173</v>
      </c>
      <c r="B174" s="150" t="s">
        <v>147</v>
      </c>
      <c r="C174" s="151">
        <v>0.45833333333333331</v>
      </c>
      <c r="D174" s="149" t="s">
        <v>142</v>
      </c>
      <c r="E174" s="149" t="s">
        <v>143</v>
      </c>
      <c r="F174" s="149" t="s">
        <v>144</v>
      </c>
      <c r="G174" s="149">
        <v>123821</v>
      </c>
      <c r="H174" s="149">
        <v>4</v>
      </c>
      <c r="I174" s="149">
        <v>28045</v>
      </c>
      <c r="J174" s="149" t="s">
        <v>145</v>
      </c>
      <c r="K174" s="149" t="s">
        <v>83</v>
      </c>
      <c r="L174" s="149" t="s">
        <v>81</v>
      </c>
      <c r="M174" s="149">
        <v>3</v>
      </c>
      <c r="N174" s="149">
        <v>2000</v>
      </c>
      <c r="O174" s="149">
        <v>2.1</v>
      </c>
      <c r="P174" s="149" t="s">
        <v>75</v>
      </c>
      <c r="Q174" s="149">
        <v>2.16E-5</v>
      </c>
      <c r="R174" s="149">
        <v>1965000</v>
      </c>
      <c r="S174" s="149"/>
      <c r="T174" s="152"/>
      <c r="U174" s="149"/>
      <c r="V174" s="152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  <c r="BK174" s="149"/>
      <c r="BL174" s="149"/>
      <c r="BM174" s="149"/>
      <c r="BN174" s="149"/>
      <c r="BO174" s="149"/>
      <c r="BP174" s="149">
        <v>12.605051901262014</v>
      </c>
      <c r="BQ174" s="149">
        <f t="shared" ca="1" si="11"/>
        <v>12.387725361883481</v>
      </c>
      <c r="BR174" s="149">
        <v>18.524544454077926</v>
      </c>
      <c r="BS174" s="149">
        <v>18.086022669280631</v>
      </c>
      <c r="BT174" s="149">
        <f t="shared" ca="1" si="10"/>
        <v>734.73268903246549</v>
      </c>
      <c r="BU174" s="153">
        <v>26807.030795163657</v>
      </c>
      <c r="BV174" s="149">
        <f t="shared" ca="1" si="12"/>
        <v>8.7320424467285558E-3</v>
      </c>
      <c r="BW174" s="1"/>
    </row>
    <row r="175" spans="1:75" x14ac:dyDescent="0.25">
      <c r="A175" s="149">
        <f t="shared" si="13"/>
        <v>174</v>
      </c>
      <c r="B175" s="150" t="s">
        <v>147</v>
      </c>
      <c r="C175" s="151">
        <v>0.45833333333333331</v>
      </c>
      <c r="D175" s="149" t="s">
        <v>142</v>
      </c>
      <c r="E175" s="149" t="s">
        <v>143</v>
      </c>
      <c r="F175" s="149" t="s">
        <v>144</v>
      </c>
      <c r="G175" s="149">
        <v>123456</v>
      </c>
      <c r="H175" s="149">
        <v>4</v>
      </c>
      <c r="I175" s="149">
        <v>29250</v>
      </c>
      <c r="J175" s="149" t="s">
        <v>137</v>
      </c>
      <c r="K175" s="149" t="s">
        <v>83</v>
      </c>
      <c r="L175" s="149" t="s">
        <v>81</v>
      </c>
      <c r="M175" s="149">
        <v>3</v>
      </c>
      <c r="N175" s="149">
        <v>2000</v>
      </c>
      <c r="O175" s="149">
        <v>2.1</v>
      </c>
      <c r="P175" s="149" t="s">
        <v>75</v>
      </c>
      <c r="Q175" s="149">
        <v>2.16E-5</v>
      </c>
      <c r="R175" s="149">
        <v>1965000</v>
      </c>
      <c r="S175" s="149"/>
      <c r="T175" s="152"/>
      <c r="U175" s="149"/>
      <c r="V175" s="152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  <c r="BK175" s="149"/>
      <c r="BL175" s="149"/>
      <c r="BM175" s="149"/>
      <c r="BN175" s="149"/>
      <c r="BO175" s="149"/>
      <c r="BP175" s="149">
        <v>14.324935222735295</v>
      </c>
      <c r="BQ175" s="149">
        <f t="shared" ca="1" si="11"/>
        <v>14.303008640872008</v>
      </c>
      <c r="BR175" s="149">
        <v>23.760642897261629</v>
      </c>
      <c r="BS175" s="149">
        <v>23.732769554312576</v>
      </c>
      <c r="BT175" s="149">
        <f t="shared" ca="1" si="10"/>
        <v>747.44806769382626</v>
      </c>
      <c r="BU175" s="153">
        <v>27843.623377560005</v>
      </c>
      <c r="BV175" s="149">
        <f t="shared" ca="1" si="12"/>
        <v>2.783158949457783E-2</v>
      </c>
      <c r="BW175" s="1"/>
    </row>
    <row r="176" spans="1:75" x14ac:dyDescent="0.25">
      <c r="A176" s="149">
        <f t="shared" si="13"/>
        <v>175</v>
      </c>
      <c r="B176" s="150" t="s">
        <v>147</v>
      </c>
      <c r="C176" s="151">
        <v>0.45833333333333331</v>
      </c>
      <c r="D176" s="149" t="s">
        <v>142</v>
      </c>
      <c r="E176" s="149" t="s">
        <v>143</v>
      </c>
      <c r="F176" s="149" t="s">
        <v>144</v>
      </c>
      <c r="G176" s="149">
        <v>123456</v>
      </c>
      <c r="H176" s="149">
        <v>4</v>
      </c>
      <c r="I176" s="149">
        <v>29250</v>
      </c>
      <c r="J176" s="149" t="s">
        <v>137</v>
      </c>
      <c r="K176" s="149" t="s">
        <v>83</v>
      </c>
      <c r="L176" s="149" t="s">
        <v>81</v>
      </c>
      <c r="M176" s="149">
        <v>3</v>
      </c>
      <c r="N176" s="149">
        <v>2000</v>
      </c>
      <c r="O176" s="149">
        <v>2.1</v>
      </c>
      <c r="P176" s="149" t="s">
        <v>75</v>
      </c>
      <c r="Q176" s="149">
        <v>2.16E-5</v>
      </c>
      <c r="R176" s="149">
        <v>1965000</v>
      </c>
      <c r="S176" s="149"/>
      <c r="T176" s="152"/>
      <c r="U176" s="149"/>
      <c r="V176" s="152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>
        <v>14.352586753285093</v>
      </c>
      <c r="BQ176" s="149">
        <f t="shared" ca="1" si="11"/>
        <v>14.184784727081931</v>
      </c>
      <c r="BR176" s="149">
        <v>19.215901469471969</v>
      </c>
      <c r="BS176" s="149">
        <v>19.008028845345024</v>
      </c>
      <c r="BT176" s="149">
        <f t="shared" ca="1" si="10"/>
        <v>795.86414669424323</v>
      </c>
      <c r="BU176" s="153">
        <v>29789.97465848281</v>
      </c>
      <c r="BV176" s="149">
        <f t="shared" ca="1" si="12"/>
        <v>1.5913905844856205E-2</v>
      </c>
      <c r="BW176" s="1"/>
    </row>
    <row r="177" spans="1:75" x14ac:dyDescent="0.25">
      <c r="A177" s="149">
        <f t="shared" si="13"/>
        <v>176</v>
      </c>
      <c r="B177" s="150" t="s">
        <v>147</v>
      </c>
      <c r="C177" s="151">
        <v>0.45833333333333331</v>
      </c>
      <c r="D177" s="149" t="s">
        <v>142</v>
      </c>
      <c r="E177" s="149" t="s">
        <v>143</v>
      </c>
      <c r="F177" s="149" t="s">
        <v>144</v>
      </c>
      <c r="G177" s="149">
        <v>123821</v>
      </c>
      <c r="H177" s="149">
        <v>4</v>
      </c>
      <c r="I177" s="149">
        <v>28045</v>
      </c>
      <c r="J177" s="149" t="s">
        <v>145</v>
      </c>
      <c r="K177" s="149" t="s">
        <v>83</v>
      </c>
      <c r="L177" s="149" t="s">
        <v>81</v>
      </c>
      <c r="M177" s="149">
        <v>3</v>
      </c>
      <c r="N177" s="149">
        <v>2000</v>
      </c>
      <c r="O177" s="149">
        <v>2.1</v>
      </c>
      <c r="P177" s="149" t="s">
        <v>75</v>
      </c>
      <c r="Q177" s="149">
        <v>2.16E-5</v>
      </c>
      <c r="R177" s="149">
        <v>1965000</v>
      </c>
      <c r="S177" s="149"/>
      <c r="T177" s="152"/>
      <c r="U177" s="149"/>
      <c r="V177" s="152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>
        <v>14.784238872831443</v>
      </c>
      <c r="BQ177" s="149">
        <f t="shared" ca="1" si="11"/>
        <v>14.442559352968532</v>
      </c>
      <c r="BR177" s="149">
        <v>24.270155083430524</v>
      </c>
      <c r="BS177" s="149">
        <v>24.175128928924607</v>
      </c>
      <c r="BT177" s="149">
        <f t="shared" ca="1" si="10"/>
        <v>686.32147945865165</v>
      </c>
      <c r="BU177" s="153">
        <v>27078.687925613387</v>
      </c>
      <c r="BV177" s="149">
        <f t="shared" ca="1" si="12"/>
        <v>2.449689807364212E-2</v>
      </c>
      <c r="BW177" s="1"/>
    </row>
    <row r="178" spans="1:75" x14ac:dyDescent="0.25">
      <c r="A178" s="149">
        <f t="shared" si="13"/>
        <v>177</v>
      </c>
      <c r="B178" s="150" t="s">
        <v>147</v>
      </c>
      <c r="C178" s="151">
        <v>0.45833333333333331</v>
      </c>
      <c r="D178" s="149" t="s">
        <v>142</v>
      </c>
      <c r="E178" s="149" t="s">
        <v>143</v>
      </c>
      <c r="F178" s="149" t="s">
        <v>144</v>
      </c>
      <c r="G178" s="149">
        <v>123821</v>
      </c>
      <c r="H178" s="149">
        <v>4</v>
      </c>
      <c r="I178" s="149">
        <v>28045</v>
      </c>
      <c r="J178" s="149" t="s">
        <v>145</v>
      </c>
      <c r="K178" s="149" t="s">
        <v>83</v>
      </c>
      <c r="L178" s="149" t="s">
        <v>81</v>
      </c>
      <c r="M178" s="149">
        <v>3</v>
      </c>
      <c r="N178" s="149">
        <v>2000</v>
      </c>
      <c r="O178" s="149">
        <v>2.1</v>
      </c>
      <c r="P178" s="149" t="s">
        <v>75</v>
      </c>
      <c r="Q178" s="149">
        <v>2.16E-5</v>
      </c>
      <c r="R178" s="149">
        <v>1965000</v>
      </c>
      <c r="S178" s="149"/>
      <c r="T178" s="152"/>
      <c r="U178" s="149"/>
      <c r="V178" s="152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  <c r="BI178" s="149"/>
      <c r="BJ178" s="149"/>
      <c r="BK178" s="149"/>
      <c r="BL178" s="149"/>
      <c r="BM178" s="149"/>
      <c r="BN178" s="149"/>
      <c r="BO178" s="149"/>
      <c r="BP178" s="149">
        <v>12.497855984667387</v>
      </c>
      <c r="BQ178" s="149">
        <f t="shared" ca="1" si="11"/>
        <v>12.224403208288351</v>
      </c>
      <c r="BR178" s="149">
        <v>21.706421232585708</v>
      </c>
      <c r="BS178" s="149">
        <v>21.351912901069593</v>
      </c>
      <c r="BT178" s="149">
        <f t="shared" ca="1" si="10"/>
        <v>692.9477343737675</v>
      </c>
      <c r="BU178" s="153">
        <v>28791.236300172157</v>
      </c>
      <c r="BV178" s="149">
        <f t="shared" ca="1" si="12"/>
        <v>1.4025142361352189E-2</v>
      </c>
      <c r="BW178" s="1"/>
    </row>
    <row r="179" spans="1:75" x14ac:dyDescent="0.25">
      <c r="A179" s="149">
        <f t="shared" si="13"/>
        <v>178</v>
      </c>
      <c r="B179" s="150" t="s">
        <v>147</v>
      </c>
      <c r="C179" s="151">
        <v>0.45833333333333331</v>
      </c>
      <c r="D179" s="149" t="s">
        <v>142</v>
      </c>
      <c r="E179" s="149" t="s">
        <v>143</v>
      </c>
      <c r="F179" s="149" t="s">
        <v>144</v>
      </c>
      <c r="G179" s="149">
        <v>123456</v>
      </c>
      <c r="H179" s="149">
        <v>4</v>
      </c>
      <c r="I179" s="149">
        <v>29250</v>
      </c>
      <c r="J179" s="149" t="s">
        <v>137</v>
      </c>
      <c r="K179" s="149" t="s">
        <v>83</v>
      </c>
      <c r="L179" s="149" t="s">
        <v>81</v>
      </c>
      <c r="M179" s="149">
        <v>3</v>
      </c>
      <c r="N179" s="149">
        <v>2000</v>
      </c>
      <c r="O179" s="149">
        <v>2.1</v>
      </c>
      <c r="P179" s="149" t="s">
        <v>75</v>
      </c>
      <c r="Q179" s="149">
        <v>2.16E-5</v>
      </c>
      <c r="R179" s="149">
        <v>1965000</v>
      </c>
      <c r="S179" s="149"/>
      <c r="T179" s="152"/>
      <c r="U179" s="149"/>
      <c r="V179" s="152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  <c r="BK179" s="149"/>
      <c r="BL179" s="149"/>
      <c r="BM179" s="149"/>
      <c r="BN179" s="149"/>
      <c r="BO179" s="149"/>
      <c r="BP179" s="149">
        <v>12.534146849901965</v>
      </c>
      <c r="BQ179" s="149">
        <f t="shared" ca="1" si="11"/>
        <v>12.463225943692425</v>
      </c>
      <c r="BR179" s="149">
        <v>18.856353408725816</v>
      </c>
      <c r="BS179" s="149">
        <v>18.49822754910296</v>
      </c>
      <c r="BT179" s="149">
        <f t="shared" ca="1" si="10"/>
        <v>726.55968122201148</v>
      </c>
      <c r="BU179" s="153">
        <v>26922.159896788646</v>
      </c>
      <c r="BV179" s="149">
        <f t="shared" ca="1" si="12"/>
        <v>2.9798142805915005E-2</v>
      </c>
      <c r="BW179" s="1"/>
    </row>
    <row r="180" spans="1:75" x14ac:dyDescent="0.25">
      <c r="A180" s="149">
        <f t="shared" si="13"/>
        <v>179</v>
      </c>
      <c r="B180" s="150" t="s">
        <v>147</v>
      </c>
      <c r="C180" s="151">
        <v>0.45833333333333331</v>
      </c>
      <c r="D180" s="149" t="s">
        <v>142</v>
      </c>
      <c r="E180" s="149" t="s">
        <v>143</v>
      </c>
      <c r="F180" s="149" t="s">
        <v>144</v>
      </c>
      <c r="G180" s="149">
        <v>123456</v>
      </c>
      <c r="H180" s="149">
        <v>4</v>
      </c>
      <c r="I180" s="149">
        <v>29250</v>
      </c>
      <c r="J180" s="149" t="s">
        <v>137</v>
      </c>
      <c r="K180" s="149" t="s">
        <v>83</v>
      </c>
      <c r="L180" s="149" t="s">
        <v>81</v>
      </c>
      <c r="M180" s="149">
        <v>3</v>
      </c>
      <c r="N180" s="149">
        <v>2000</v>
      </c>
      <c r="O180" s="149">
        <v>2.1</v>
      </c>
      <c r="P180" s="149" t="s">
        <v>75</v>
      </c>
      <c r="Q180" s="149">
        <v>2.16E-5</v>
      </c>
      <c r="R180" s="149">
        <v>1965000</v>
      </c>
      <c r="S180" s="149"/>
      <c r="T180" s="152"/>
      <c r="U180" s="149"/>
      <c r="V180" s="152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  <c r="BK180" s="149"/>
      <c r="BL180" s="149"/>
      <c r="BM180" s="149"/>
      <c r="BN180" s="149"/>
      <c r="BO180" s="149"/>
      <c r="BP180" s="149">
        <v>14.932072890676963</v>
      </c>
      <c r="BQ180" s="149">
        <f t="shared" ca="1" si="11"/>
        <v>14.455857690351825</v>
      </c>
      <c r="BR180" s="149">
        <v>21.71989596048374</v>
      </c>
      <c r="BS180" s="149">
        <v>21.637698126676312</v>
      </c>
      <c r="BT180" s="149">
        <f t="shared" ca="1" si="10"/>
        <v>731.16999911706898</v>
      </c>
      <c r="BU180" s="153">
        <v>29000.459207009215</v>
      </c>
      <c r="BV180" s="149">
        <f t="shared" ca="1" si="12"/>
        <v>2.1602457702628045E-2</v>
      </c>
      <c r="BW180" s="1"/>
    </row>
    <row r="181" spans="1:75" x14ac:dyDescent="0.25">
      <c r="A181" s="149">
        <f t="shared" si="13"/>
        <v>180</v>
      </c>
      <c r="B181" s="150" t="s">
        <v>147</v>
      </c>
      <c r="C181" s="151">
        <v>0.45833333333333331</v>
      </c>
      <c r="D181" s="149" t="s">
        <v>142</v>
      </c>
      <c r="E181" s="149" t="s">
        <v>143</v>
      </c>
      <c r="F181" s="149" t="s">
        <v>144</v>
      </c>
      <c r="G181" s="149">
        <v>123821</v>
      </c>
      <c r="H181" s="149">
        <v>4</v>
      </c>
      <c r="I181" s="149">
        <v>28045</v>
      </c>
      <c r="J181" s="149" t="s">
        <v>145</v>
      </c>
      <c r="K181" s="149" t="s">
        <v>83</v>
      </c>
      <c r="L181" s="149" t="s">
        <v>81</v>
      </c>
      <c r="M181" s="149">
        <v>3</v>
      </c>
      <c r="N181" s="149">
        <v>2000</v>
      </c>
      <c r="O181" s="149">
        <v>2.1</v>
      </c>
      <c r="P181" s="149" t="s">
        <v>75</v>
      </c>
      <c r="Q181" s="149">
        <v>2.16E-5</v>
      </c>
      <c r="R181" s="149">
        <v>1965000</v>
      </c>
      <c r="S181" s="149"/>
      <c r="T181" s="152"/>
      <c r="U181" s="149"/>
      <c r="V181" s="152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  <c r="BI181" s="149"/>
      <c r="BJ181" s="149"/>
      <c r="BK181" s="149"/>
      <c r="BL181" s="149"/>
      <c r="BM181" s="149"/>
      <c r="BN181" s="149"/>
      <c r="BO181" s="149"/>
      <c r="BP181" s="149">
        <v>14.21060107075682</v>
      </c>
      <c r="BQ181" s="149">
        <f t="shared" ca="1" si="11"/>
        <v>13.847294744822902</v>
      </c>
      <c r="BR181" s="149">
        <v>21.361873537456162</v>
      </c>
      <c r="BS181" s="149">
        <v>20.868362119888481</v>
      </c>
      <c r="BT181" s="149">
        <f t="shared" ca="1" si="10"/>
        <v>773.97608377697122</v>
      </c>
      <c r="BU181" s="153">
        <v>27584.062850562845</v>
      </c>
      <c r="BV181" s="149">
        <f t="shared" ca="1" si="12"/>
        <v>9.5694348179328637E-3</v>
      </c>
      <c r="BW181" s="1"/>
    </row>
    <row r="182" spans="1:75" x14ac:dyDescent="0.25">
      <c r="A182" s="149">
        <f t="shared" si="13"/>
        <v>181</v>
      </c>
      <c r="B182" s="150" t="s">
        <v>147</v>
      </c>
      <c r="C182" s="151">
        <v>0.45833333333333331</v>
      </c>
      <c r="D182" s="149" t="s">
        <v>142</v>
      </c>
      <c r="E182" s="149" t="s">
        <v>143</v>
      </c>
      <c r="F182" s="149" t="s">
        <v>144</v>
      </c>
      <c r="G182" s="149">
        <v>123821</v>
      </c>
      <c r="H182" s="149">
        <v>4</v>
      </c>
      <c r="I182" s="149">
        <v>28045</v>
      </c>
      <c r="J182" s="149" t="s">
        <v>145</v>
      </c>
      <c r="K182" s="149" t="s">
        <v>83</v>
      </c>
      <c r="L182" s="149" t="s">
        <v>81</v>
      </c>
      <c r="M182" s="149">
        <v>3</v>
      </c>
      <c r="N182" s="149">
        <v>2000</v>
      </c>
      <c r="O182" s="149">
        <v>2.1</v>
      </c>
      <c r="P182" s="149" t="s">
        <v>75</v>
      </c>
      <c r="Q182" s="149">
        <v>2.16E-5</v>
      </c>
      <c r="R182" s="149">
        <v>1965000</v>
      </c>
      <c r="S182" s="149"/>
      <c r="T182" s="152"/>
      <c r="U182" s="149"/>
      <c r="V182" s="152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  <c r="BK182" s="149"/>
      <c r="BL182" s="149"/>
      <c r="BM182" s="149"/>
      <c r="BN182" s="149"/>
      <c r="BO182" s="149"/>
      <c r="BP182" s="149">
        <v>13.460091969283468</v>
      </c>
      <c r="BQ182" s="149">
        <f t="shared" ca="1" si="11"/>
        <v>12.988180448795463</v>
      </c>
      <c r="BR182" s="149">
        <v>19.910075366343371</v>
      </c>
      <c r="BS182" s="149">
        <v>19.615309468161964</v>
      </c>
      <c r="BT182" s="149">
        <f t="shared" ca="1" si="10"/>
        <v>627.76715730611409</v>
      </c>
      <c r="BU182" s="153">
        <v>26819.162670205449</v>
      </c>
      <c r="BV182" s="149">
        <f t="shared" ca="1" si="12"/>
        <v>8.726717189790293E-3</v>
      </c>
      <c r="BW182" s="1"/>
    </row>
    <row r="183" spans="1:75" x14ac:dyDescent="0.25">
      <c r="A183" s="149">
        <f t="shared" si="13"/>
        <v>182</v>
      </c>
      <c r="B183" s="150" t="s">
        <v>147</v>
      </c>
      <c r="C183" s="151">
        <v>0.45833333333333331</v>
      </c>
      <c r="D183" s="149" t="s">
        <v>142</v>
      </c>
      <c r="E183" s="149" t="s">
        <v>143</v>
      </c>
      <c r="F183" s="149" t="s">
        <v>144</v>
      </c>
      <c r="G183" s="149">
        <v>123456</v>
      </c>
      <c r="H183" s="149">
        <v>4</v>
      </c>
      <c r="I183" s="149">
        <v>29250</v>
      </c>
      <c r="J183" s="149" t="s">
        <v>137</v>
      </c>
      <c r="K183" s="149" t="s">
        <v>83</v>
      </c>
      <c r="L183" s="149" t="s">
        <v>81</v>
      </c>
      <c r="M183" s="149">
        <v>3</v>
      </c>
      <c r="N183" s="149">
        <v>2000</v>
      </c>
      <c r="O183" s="149">
        <v>2.1</v>
      </c>
      <c r="P183" s="149" t="s">
        <v>75</v>
      </c>
      <c r="Q183" s="149">
        <v>2.16E-5</v>
      </c>
      <c r="R183" s="149">
        <v>1965000</v>
      </c>
      <c r="S183" s="149"/>
      <c r="T183" s="152"/>
      <c r="U183" s="149"/>
      <c r="V183" s="152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  <c r="BK183" s="149"/>
      <c r="BL183" s="149"/>
      <c r="BM183" s="149"/>
      <c r="BN183" s="149"/>
      <c r="BO183" s="149"/>
      <c r="BP183" s="149">
        <v>14.813336864640412</v>
      </c>
      <c r="BQ183" s="149">
        <f t="shared" ca="1" si="11"/>
        <v>14.373936451617245</v>
      </c>
      <c r="BR183" s="149">
        <v>19.206865032423725</v>
      </c>
      <c r="BS183" s="149">
        <v>19.069653175393434</v>
      </c>
      <c r="BT183" s="149">
        <f t="shared" ca="1" si="10"/>
        <v>722.84711473560697</v>
      </c>
      <c r="BU183" s="153">
        <v>29538.474206680607</v>
      </c>
      <c r="BV183" s="149">
        <f t="shared" ca="1" si="12"/>
        <v>2.341611398536796E-2</v>
      </c>
      <c r="BW183" s="1"/>
    </row>
    <row r="184" spans="1:75" x14ac:dyDescent="0.25">
      <c r="A184" s="149">
        <f t="shared" si="13"/>
        <v>183</v>
      </c>
      <c r="B184" s="150" t="s">
        <v>147</v>
      </c>
      <c r="C184" s="151">
        <v>0.45833333333333331</v>
      </c>
      <c r="D184" s="149" t="s">
        <v>142</v>
      </c>
      <c r="E184" s="149" t="s">
        <v>143</v>
      </c>
      <c r="F184" s="149" t="s">
        <v>144</v>
      </c>
      <c r="G184" s="149">
        <v>123456</v>
      </c>
      <c r="H184" s="149">
        <v>4</v>
      </c>
      <c r="I184" s="149">
        <v>29250</v>
      </c>
      <c r="J184" s="149" t="s">
        <v>137</v>
      </c>
      <c r="K184" s="149" t="s">
        <v>83</v>
      </c>
      <c r="L184" s="149" t="s">
        <v>81</v>
      </c>
      <c r="M184" s="149">
        <v>3</v>
      </c>
      <c r="N184" s="149">
        <v>2000</v>
      </c>
      <c r="O184" s="149">
        <v>2.1</v>
      </c>
      <c r="P184" s="149" t="s">
        <v>75</v>
      </c>
      <c r="Q184" s="149">
        <v>2.16E-5</v>
      </c>
      <c r="R184" s="149">
        <v>1965000</v>
      </c>
      <c r="S184" s="149"/>
      <c r="T184" s="152"/>
      <c r="U184" s="149"/>
      <c r="V184" s="152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  <c r="BK184" s="149"/>
      <c r="BL184" s="149"/>
      <c r="BM184" s="149"/>
      <c r="BN184" s="149"/>
      <c r="BO184" s="149"/>
      <c r="BP184" s="149">
        <v>12.952821923510639</v>
      </c>
      <c r="BQ184" s="149">
        <f t="shared" ca="1" si="11"/>
        <v>12.589451610234553</v>
      </c>
      <c r="BR184" s="149">
        <v>24.038604832380717</v>
      </c>
      <c r="BS184" s="149">
        <v>23.594805783843583</v>
      </c>
      <c r="BT184" s="149">
        <f t="shared" ca="1" si="10"/>
        <v>787.97165421289628</v>
      </c>
      <c r="BU184" s="153">
        <v>28980.250481952982</v>
      </c>
      <c r="BV184" s="149">
        <f t="shared" ca="1" si="12"/>
        <v>5.113186703109055E-3</v>
      </c>
      <c r="BW184" s="1"/>
    </row>
    <row r="185" spans="1:75" x14ac:dyDescent="0.25">
      <c r="A185" s="149">
        <f t="shared" si="13"/>
        <v>184</v>
      </c>
      <c r="B185" s="150" t="s">
        <v>147</v>
      </c>
      <c r="C185" s="151">
        <v>0.45833333333333331</v>
      </c>
      <c r="D185" s="149" t="s">
        <v>142</v>
      </c>
      <c r="E185" s="149" t="s">
        <v>143</v>
      </c>
      <c r="F185" s="149" t="s">
        <v>144</v>
      </c>
      <c r="G185" s="149">
        <v>123821</v>
      </c>
      <c r="H185" s="149">
        <v>4</v>
      </c>
      <c r="I185" s="149">
        <v>28045</v>
      </c>
      <c r="J185" s="149" t="s">
        <v>145</v>
      </c>
      <c r="K185" s="149" t="s">
        <v>83</v>
      </c>
      <c r="L185" s="149" t="s">
        <v>81</v>
      </c>
      <c r="M185" s="149">
        <v>3</v>
      </c>
      <c r="N185" s="149">
        <v>2000</v>
      </c>
      <c r="O185" s="149">
        <v>2.1</v>
      </c>
      <c r="P185" s="149" t="s">
        <v>75</v>
      </c>
      <c r="Q185" s="149">
        <v>2.16E-5</v>
      </c>
      <c r="R185" s="149">
        <v>1965000</v>
      </c>
      <c r="S185" s="149"/>
      <c r="T185" s="152"/>
      <c r="U185" s="149"/>
      <c r="V185" s="152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  <c r="BI185" s="149"/>
      <c r="BJ185" s="149"/>
      <c r="BK185" s="149"/>
      <c r="BL185" s="149"/>
      <c r="BM185" s="149"/>
      <c r="BN185" s="149"/>
      <c r="BO185" s="149"/>
      <c r="BP185" s="149">
        <v>13.257725127099421</v>
      </c>
      <c r="BQ185" s="149">
        <f t="shared" ca="1" si="11"/>
        <v>13.142290344086115</v>
      </c>
      <c r="BR185" s="149">
        <v>19.39580043790065</v>
      </c>
      <c r="BS185" s="149">
        <v>18.93893706958568</v>
      </c>
      <c r="BT185" s="149">
        <f t="shared" ca="1" si="10"/>
        <v>631.63050845173507</v>
      </c>
      <c r="BU185" s="153">
        <v>29124.265100257529</v>
      </c>
      <c r="BV185" s="149">
        <f t="shared" ca="1" si="12"/>
        <v>2.1362218164772451E-2</v>
      </c>
      <c r="BW185" s="1"/>
    </row>
    <row r="186" spans="1:75" x14ac:dyDescent="0.25">
      <c r="A186" s="149">
        <f t="shared" si="13"/>
        <v>185</v>
      </c>
      <c r="B186" s="150" t="s">
        <v>147</v>
      </c>
      <c r="C186" s="151">
        <v>0.45833333333333331</v>
      </c>
      <c r="D186" s="149" t="s">
        <v>142</v>
      </c>
      <c r="E186" s="149" t="s">
        <v>143</v>
      </c>
      <c r="F186" s="149" t="s">
        <v>144</v>
      </c>
      <c r="G186" s="149">
        <v>123821</v>
      </c>
      <c r="H186" s="149">
        <v>4</v>
      </c>
      <c r="I186" s="149">
        <v>28045</v>
      </c>
      <c r="J186" s="149" t="s">
        <v>145</v>
      </c>
      <c r="K186" s="149" t="s">
        <v>83</v>
      </c>
      <c r="L186" s="149" t="s">
        <v>81</v>
      </c>
      <c r="M186" s="149">
        <v>3</v>
      </c>
      <c r="N186" s="149">
        <v>2000</v>
      </c>
      <c r="O186" s="149">
        <v>2.1</v>
      </c>
      <c r="P186" s="149" t="s">
        <v>75</v>
      </c>
      <c r="Q186" s="149">
        <v>2.16E-5</v>
      </c>
      <c r="R186" s="149">
        <v>1965000</v>
      </c>
      <c r="S186" s="149"/>
      <c r="T186" s="152"/>
      <c r="U186" s="149"/>
      <c r="V186" s="152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  <c r="BI186" s="149"/>
      <c r="BJ186" s="149"/>
      <c r="BK186" s="149"/>
      <c r="BL186" s="149"/>
      <c r="BM186" s="149"/>
      <c r="BN186" s="149"/>
      <c r="BO186" s="149"/>
      <c r="BP186" s="149">
        <v>12.734493114991682</v>
      </c>
      <c r="BQ186" s="149">
        <f t="shared" ca="1" si="11"/>
        <v>12.47726320924575</v>
      </c>
      <c r="BR186" s="149">
        <v>20.227400823294438</v>
      </c>
      <c r="BS186" s="149">
        <v>20.011023376006783</v>
      </c>
      <c r="BT186" s="149">
        <f t="shared" ca="1" si="10"/>
        <v>678.882887110978</v>
      </c>
      <c r="BU186" s="153">
        <v>27587.988889817516</v>
      </c>
      <c r="BV186" s="149">
        <f t="shared" ca="1" si="12"/>
        <v>1.0592881423911543E-2</v>
      </c>
      <c r="BW186" s="1"/>
    </row>
    <row r="187" spans="1:75" x14ac:dyDescent="0.25">
      <c r="A187" s="149">
        <f t="shared" si="13"/>
        <v>186</v>
      </c>
      <c r="B187" s="150" t="s">
        <v>147</v>
      </c>
      <c r="C187" s="151">
        <v>0.45833333333333331</v>
      </c>
      <c r="D187" s="149" t="s">
        <v>142</v>
      </c>
      <c r="E187" s="149" t="s">
        <v>143</v>
      </c>
      <c r="F187" s="149" t="s">
        <v>144</v>
      </c>
      <c r="G187" s="149">
        <v>123456</v>
      </c>
      <c r="H187" s="149">
        <v>4</v>
      </c>
      <c r="I187" s="149">
        <v>29250</v>
      </c>
      <c r="J187" s="149" t="s">
        <v>137</v>
      </c>
      <c r="K187" s="149" t="s">
        <v>83</v>
      </c>
      <c r="L187" s="149" t="s">
        <v>81</v>
      </c>
      <c r="M187" s="149">
        <v>3</v>
      </c>
      <c r="N187" s="149">
        <v>2000</v>
      </c>
      <c r="O187" s="149">
        <v>2.1</v>
      </c>
      <c r="P187" s="149" t="s">
        <v>75</v>
      </c>
      <c r="Q187" s="149">
        <v>2.16E-5</v>
      </c>
      <c r="R187" s="149">
        <v>1965000</v>
      </c>
      <c r="S187" s="149"/>
      <c r="T187" s="152"/>
      <c r="U187" s="149"/>
      <c r="V187" s="152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>
        <v>14.162625371631041</v>
      </c>
      <c r="BQ187" s="149">
        <f t="shared" ca="1" si="11"/>
        <v>13.983524834040608</v>
      </c>
      <c r="BR187" s="149">
        <v>24.332803086311834</v>
      </c>
      <c r="BS187" s="149">
        <v>24.011182834487329</v>
      </c>
      <c r="BT187" s="149">
        <f t="shared" ca="1" si="10"/>
        <v>711.27696796612349</v>
      </c>
      <c r="BU187" s="153">
        <v>29170.951832167957</v>
      </c>
      <c r="BV187" s="149">
        <f t="shared" ca="1" si="12"/>
        <v>8.8879564656306718E-3</v>
      </c>
      <c r="BW187" s="1"/>
    </row>
    <row r="188" spans="1:75" x14ac:dyDescent="0.25">
      <c r="A188" s="149">
        <f t="shared" si="13"/>
        <v>187</v>
      </c>
      <c r="B188" s="150" t="s">
        <v>147</v>
      </c>
      <c r="C188" s="151">
        <v>0.45833333333333331</v>
      </c>
      <c r="D188" s="149" t="s">
        <v>142</v>
      </c>
      <c r="E188" s="149" t="s">
        <v>143</v>
      </c>
      <c r="F188" s="149" t="s">
        <v>144</v>
      </c>
      <c r="G188" s="149">
        <v>123456</v>
      </c>
      <c r="H188" s="149">
        <v>4</v>
      </c>
      <c r="I188" s="149">
        <v>29250</v>
      </c>
      <c r="J188" s="149" t="s">
        <v>137</v>
      </c>
      <c r="K188" s="149" t="s">
        <v>83</v>
      </c>
      <c r="L188" s="149" t="s">
        <v>81</v>
      </c>
      <c r="M188" s="149">
        <v>3</v>
      </c>
      <c r="N188" s="149">
        <v>2000</v>
      </c>
      <c r="O188" s="149">
        <v>2.1</v>
      </c>
      <c r="P188" s="149" t="s">
        <v>75</v>
      </c>
      <c r="Q188" s="149">
        <v>2.16E-5</v>
      </c>
      <c r="R188" s="149">
        <v>1965000</v>
      </c>
      <c r="S188" s="149"/>
      <c r="T188" s="152"/>
      <c r="U188" s="149"/>
      <c r="V188" s="152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  <c r="BI188" s="149"/>
      <c r="BJ188" s="149"/>
      <c r="BK188" s="149"/>
      <c r="BL188" s="149"/>
      <c r="BM188" s="149"/>
      <c r="BN188" s="149"/>
      <c r="BO188" s="149"/>
      <c r="BP188" s="149">
        <v>12.787675633793741</v>
      </c>
      <c r="BQ188" s="149">
        <f t="shared" ca="1" si="11"/>
        <v>12.568307487700384</v>
      </c>
      <c r="BR188" s="149">
        <v>21.634685521672591</v>
      </c>
      <c r="BS188" s="149">
        <v>21.517084297142304</v>
      </c>
      <c r="BT188" s="149">
        <f t="shared" ca="1" si="10"/>
        <v>746.00743658929105</v>
      </c>
      <c r="BU188" s="153">
        <v>29910.586990642703</v>
      </c>
      <c r="BV188" s="149">
        <f t="shared" ca="1" si="12"/>
        <v>2.5834157563642553E-2</v>
      </c>
      <c r="BW188" s="1"/>
    </row>
    <row r="189" spans="1:75" x14ac:dyDescent="0.25">
      <c r="A189" s="149">
        <f t="shared" si="13"/>
        <v>188</v>
      </c>
      <c r="B189" s="150" t="s">
        <v>147</v>
      </c>
      <c r="C189" s="151">
        <v>0.45833333333333331</v>
      </c>
      <c r="D189" s="149" t="s">
        <v>142</v>
      </c>
      <c r="E189" s="149" t="s">
        <v>143</v>
      </c>
      <c r="F189" s="149" t="s">
        <v>144</v>
      </c>
      <c r="G189" s="149">
        <v>123821</v>
      </c>
      <c r="H189" s="149">
        <v>4</v>
      </c>
      <c r="I189" s="149">
        <v>28045</v>
      </c>
      <c r="J189" s="149" t="s">
        <v>145</v>
      </c>
      <c r="K189" s="149" t="s">
        <v>83</v>
      </c>
      <c r="L189" s="149" t="s">
        <v>81</v>
      </c>
      <c r="M189" s="149">
        <v>3</v>
      </c>
      <c r="N189" s="149">
        <v>2000</v>
      </c>
      <c r="O189" s="149">
        <v>2.1</v>
      </c>
      <c r="P189" s="149" t="s">
        <v>75</v>
      </c>
      <c r="Q189" s="149">
        <v>2.16E-5</v>
      </c>
      <c r="R189" s="149">
        <v>1965000</v>
      </c>
      <c r="S189" s="149"/>
      <c r="T189" s="152"/>
      <c r="U189" s="149"/>
      <c r="V189" s="152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  <c r="BI189" s="149"/>
      <c r="BJ189" s="149"/>
      <c r="BK189" s="149"/>
      <c r="BL189" s="149"/>
      <c r="BM189" s="149"/>
      <c r="BN189" s="149"/>
      <c r="BO189" s="149"/>
      <c r="BP189" s="149">
        <v>13.580907027973916</v>
      </c>
      <c r="BQ189" s="149">
        <f t="shared" ca="1" si="11"/>
        <v>13.189899517591584</v>
      </c>
      <c r="BR189" s="149">
        <v>23.898955072246991</v>
      </c>
      <c r="BS189" s="149">
        <v>23.448857623208827</v>
      </c>
      <c r="BT189" s="149">
        <f t="shared" ca="1" si="10"/>
        <v>625.39330217912084</v>
      </c>
      <c r="BU189" s="153">
        <v>29549.826871021829</v>
      </c>
      <c r="BV189" s="149">
        <f t="shared" ca="1" si="12"/>
        <v>2.9239585231173818E-2</v>
      </c>
      <c r="BW189" s="1"/>
    </row>
    <row r="190" spans="1:75" x14ac:dyDescent="0.25">
      <c r="A190" s="149">
        <f t="shared" si="13"/>
        <v>189</v>
      </c>
      <c r="B190" s="150" t="s">
        <v>147</v>
      </c>
      <c r="C190" s="151">
        <v>0.45833333333333331</v>
      </c>
      <c r="D190" s="149" t="s">
        <v>142</v>
      </c>
      <c r="E190" s="149" t="s">
        <v>143</v>
      </c>
      <c r="F190" s="149" t="s">
        <v>144</v>
      </c>
      <c r="G190" s="149">
        <v>123821</v>
      </c>
      <c r="H190" s="149">
        <v>4</v>
      </c>
      <c r="I190" s="149">
        <v>28045</v>
      </c>
      <c r="J190" s="149" t="s">
        <v>145</v>
      </c>
      <c r="K190" s="149" t="s">
        <v>83</v>
      </c>
      <c r="L190" s="149" t="s">
        <v>81</v>
      </c>
      <c r="M190" s="149">
        <v>3</v>
      </c>
      <c r="N190" s="149">
        <v>2000</v>
      </c>
      <c r="O190" s="149">
        <v>2.1</v>
      </c>
      <c r="P190" s="149" t="s">
        <v>75</v>
      </c>
      <c r="Q190" s="149">
        <v>2.16E-5</v>
      </c>
      <c r="R190" s="149">
        <v>1965000</v>
      </c>
      <c r="S190" s="149"/>
      <c r="T190" s="152"/>
      <c r="U190" s="149"/>
      <c r="V190" s="152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  <c r="BI190" s="149"/>
      <c r="BJ190" s="149"/>
      <c r="BK190" s="149"/>
      <c r="BL190" s="149"/>
      <c r="BM190" s="149"/>
      <c r="BN190" s="149"/>
      <c r="BO190" s="149"/>
      <c r="BP190" s="149">
        <v>13.16035327948609</v>
      </c>
      <c r="BQ190" s="149">
        <f t="shared" ca="1" si="11"/>
        <v>12.906801259943837</v>
      </c>
      <c r="BR190" s="149">
        <v>21.608321379489869</v>
      </c>
      <c r="BS190" s="149">
        <v>21.452977342832661</v>
      </c>
      <c r="BT190" s="149">
        <f t="shared" ca="1" si="10"/>
        <v>659.29224538322183</v>
      </c>
      <c r="BU190" s="153">
        <v>27730.190036206848</v>
      </c>
      <c r="BV190" s="149">
        <f t="shared" ca="1" si="12"/>
        <v>1.7964731893394155E-2</v>
      </c>
      <c r="BW190" s="1"/>
    </row>
    <row r="191" spans="1:75" x14ac:dyDescent="0.25">
      <c r="A191" s="149">
        <f t="shared" si="13"/>
        <v>190</v>
      </c>
      <c r="B191" s="150" t="s">
        <v>147</v>
      </c>
      <c r="C191" s="151">
        <v>0.45833333333333331</v>
      </c>
      <c r="D191" s="149" t="s">
        <v>142</v>
      </c>
      <c r="E191" s="149" t="s">
        <v>143</v>
      </c>
      <c r="F191" s="149" t="s">
        <v>144</v>
      </c>
      <c r="G191" s="149">
        <v>123456</v>
      </c>
      <c r="H191" s="149">
        <v>4</v>
      </c>
      <c r="I191" s="149">
        <v>29250</v>
      </c>
      <c r="J191" s="149" t="s">
        <v>137</v>
      </c>
      <c r="K191" s="149" t="s">
        <v>83</v>
      </c>
      <c r="L191" s="149" t="s">
        <v>81</v>
      </c>
      <c r="M191" s="149">
        <v>3</v>
      </c>
      <c r="N191" s="149">
        <v>2000</v>
      </c>
      <c r="O191" s="149">
        <v>2.1</v>
      </c>
      <c r="P191" s="149" t="s">
        <v>75</v>
      </c>
      <c r="Q191" s="149">
        <v>2.16E-5</v>
      </c>
      <c r="R191" s="149">
        <v>1965000</v>
      </c>
      <c r="S191" s="149"/>
      <c r="T191" s="152"/>
      <c r="U191" s="149"/>
      <c r="V191" s="152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  <c r="BI191" s="149"/>
      <c r="BJ191" s="149"/>
      <c r="BK191" s="149"/>
      <c r="BL191" s="149"/>
      <c r="BM191" s="149"/>
      <c r="BN191" s="149"/>
      <c r="BO191" s="149"/>
      <c r="BP191" s="149">
        <v>12.731633530632413</v>
      </c>
      <c r="BQ191" s="149">
        <f t="shared" ca="1" si="11"/>
        <v>12.378686409217117</v>
      </c>
      <c r="BR191" s="149">
        <v>24.785736863890556</v>
      </c>
      <c r="BS191" s="149">
        <v>24.397977868920144</v>
      </c>
      <c r="BT191" s="149">
        <f t="shared" ref="BT191:BT246" ca="1" si="14">RAND()*(800-600)+600</f>
        <v>656.85892987127693</v>
      </c>
      <c r="BU191" s="153">
        <v>29004.13709753253</v>
      </c>
      <c r="BV191" s="149">
        <f t="shared" ca="1" si="12"/>
        <v>2.8189086838396563E-2</v>
      </c>
      <c r="BW191" s="1"/>
    </row>
    <row r="192" spans="1:75" x14ac:dyDescent="0.25">
      <c r="A192" s="149">
        <f t="shared" si="13"/>
        <v>191</v>
      </c>
      <c r="B192" s="150" t="s">
        <v>147</v>
      </c>
      <c r="C192" s="151">
        <v>0.45833333333333331</v>
      </c>
      <c r="D192" s="149" t="s">
        <v>142</v>
      </c>
      <c r="E192" s="149" t="s">
        <v>143</v>
      </c>
      <c r="F192" s="149" t="s">
        <v>144</v>
      </c>
      <c r="G192" s="149">
        <v>123456</v>
      </c>
      <c r="H192" s="149">
        <v>4</v>
      </c>
      <c r="I192" s="149">
        <v>29250</v>
      </c>
      <c r="J192" s="149" t="s">
        <v>137</v>
      </c>
      <c r="K192" s="149" t="s">
        <v>83</v>
      </c>
      <c r="L192" s="149" t="s">
        <v>81</v>
      </c>
      <c r="M192" s="149">
        <v>3</v>
      </c>
      <c r="N192" s="149">
        <v>2000</v>
      </c>
      <c r="O192" s="149">
        <v>2.1</v>
      </c>
      <c r="P192" s="149" t="s">
        <v>75</v>
      </c>
      <c r="Q192" s="149">
        <v>2.16E-5</v>
      </c>
      <c r="R192" s="149">
        <v>1965000</v>
      </c>
      <c r="S192" s="149"/>
      <c r="T192" s="152"/>
      <c r="U192" s="149"/>
      <c r="V192" s="156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  <c r="BK192" s="149"/>
      <c r="BL192" s="149"/>
      <c r="BM192" s="149"/>
      <c r="BN192" s="149"/>
      <c r="BO192" s="149"/>
      <c r="BP192" s="149">
        <v>14.134706615207367</v>
      </c>
      <c r="BQ192" s="149">
        <f t="shared" ref="BQ192:BQ246" ca="1" si="15">BP192-RAND()*(0.5-0)</f>
        <v>13.971058982555173</v>
      </c>
      <c r="BR192" s="149">
        <v>24.565353886211092</v>
      </c>
      <c r="BS192" s="149">
        <v>24.563892108399983</v>
      </c>
      <c r="BT192" s="149">
        <f t="shared" ca="1" si="14"/>
        <v>784.81830307807354</v>
      </c>
      <c r="BU192" s="153">
        <v>26914.737655821122</v>
      </c>
      <c r="BV192" s="149">
        <f t="shared" ref="BV192:BV246" ca="1" si="16">RAND()*(0.03-0.004)+0.004</f>
        <v>4.1767501863905947E-3</v>
      </c>
      <c r="BW192" s="1"/>
    </row>
    <row r="193" spans="1:75" x14ac:dyDescent="0.25">
      <c r="A193" s="149">
        <f t="shared" si="13"/>
        <v>192</v>
      </c>
      <c r="B193" s="150" t="s">
        <v>147</v>
      </c>
      <c r="C193" s="151">
        <v>0.45833333333333331</v>
      </c>
      <c r="D193" s="149" t="s">
        <v>142</v>
      </c>
      <c r="E193" s="149" t="s">
        <v>143</v>
      </c>
      <c r="F193" s="149" t="s">
        <v>144</v>
      </c>
      <c r="G193" s="149">
        <v>123821</v>
      </c>
      <c r="H193" s="149">
        <v>4</v>
      </c>
      <c r="I193" s="149">
        <v>28045</v>
      </c>
      <c r="J193" s="149" t="s">
        <v>145</v>
      </c>
      <c r="K193" s="149" t="s">
        <v>83</v>
      </c>
      <c r="L193" s="149" t="s">
        <v>81</v>
      </c>
      <c r="M193" s="149">
        <v>3</v>
      </c>
      <c r="N193" s="149">
        <v>2000</v>
      </c>
      <c r="O193" s="149">
        <v>2.1</v>
      </c>
      <c r="P193" s="149" t="s">
        <v>75</v>
      </c>
      <c r="Q193" s="149">
        <v>2.16E-5</v>
      </c>
      <c r="R193" s="149">
        <v>1965000</v>
      </c>
      <c r="S193" s="149"/>
      <c r="T193" s="152"/>
      <c r="U193" s="149"/>
      <c r="V193" s="152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  <c r="BI193" s="149"/>
      <c r="BJ193" s="149"/>
      <c r="BK193" s="149"/>
      <c r="BL193" s="149"/>
      <c r="BM193" s="149"/>
      <c r="BN193" s="149"/>
      <c r="BO193" s="149"/>
      <c r="BP193" s="149">
        <v>13.014268139094344</v>
      </c>
      <c r="BQ193" s="149">
        <f t="shared" ca="1" si="15"/>
        <v>12.591467725643669</v>
      </c>
      <c r="BR193" s="149">
        <v>19.122354698152421</v>
      </c>
      <c r="BS193" s="149">
        <v>18.883065062981899</v>
      </c>
      <c r="BT193" s="149">
        <f t="shared" ca="1" si="14"/>
        <v>758.5730149663998</v>
      </c>
      <c r="BU193" s="153">
        <v>28296.706340629629</v>
      </c>
      <c r="BV193" s="149">
        <f t="shared" ca="1" si="16"/>
        <v>2.7434963391907229E-2</v>
      </c>
      <c r="BW193" s="1"/>
    </row>
    <row r="194" spans="1:75" x14ac:dyDescent="0.25">
      <c r="A194" s="149">
        <f t="shared" si="13"/>
        <v>193</v>
      </c>
      <c r="B194" s="150" t="s">
        <v>147</v>
      </c>
      <c r="C194" s="151">
        <v>0.45833333333333331</v>
      </c>
      <c r="D194" s="149" t="s">
        <v>142</v>
      </c>
      <c r="E194" s="149" t="s">
        <v>143</v>
      </c>
      <c r="F194" s="149" t="s">
        <v>144</v>
      </c>
      <c r="G194" s="149">
        <v>123821</v>
      </c>
      <c r="H194" s="149">
        <v>4</v>
      </c>
      <c r="I194" s="149">
        <v>28045</v>
      </c>
      <c r="J194" s="149" t="s">
        <v>145</v>
      </c>
      <c r="K194" s="149" t="s">
        <v>83</v>
      </c>
      <c r="L194" s="149" t="s">
        <v>81</v>
      </c>
      <c r="M194" s="149">
        <v>3</v>
      </c>
      <c r="N194" s="149">
        <v>2000</v>
      </c>
      <c r="O194" s="149">
        <v>2.1</v>
      </c>
      <c r="P194" s="149" t="s">
        <v>75</v>
      </c>
      <c r="Q194" s="149">
        <v>2.16E-5</v>
      </c>
      <c r="R194" s="149">
        <v>1965000</v>
      </c>
      <c r="S194" s="149"/>
      <c r="T194" s="152"/>
      <c r="U194" s="149"/>
      <c r="V194" s="152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  <c r="BI194" s="149"/>
      <c r="BJ194" s="149"/>
      <c r="BK194" s="149"/>
      <c r="BL194" s="149"/>
      <c r="BM194" s="149"/>
      <c r="BN194" s="149"/>
      <c r="BO194" s="149"/>
      <c r="BP194" s="149">
        <v>14.592686591072482</v>
      </c>
      <c r="BQ194" s="149">
        <f t="shared" ca="1" si="15"/>
        <v>14.240391000029161</v>
      </c>
      <c r="BR194" s="149">
        <v>19.883988134259198</v>
      </c>
      <c r="BS194" s="149">
        <v>19.754741318152281</v>
      </c>
      <c r="BT194" s="149">
        <f t="shared" ca="1" si="14"/>
        <v>756.09992230654518</v>
      </c>
      <c r="BU194" s="153">
        <v>26820.139968524334</v>
      </c>
      <c r="BV194" s="149">
        <f t="shared" ca="1" si="16"/>
        <v>2.7361283355364269E-2</v>
      </c>
      <c r="BW194" s="1"/>
    </row>
    <row r="195" spans="1:75" x14ac:dyDescent="0.25">
      <c r="A195" s="149">
        <f t="shared" si="13"/>
        <v>194</v>
      </c>
      <c r="B195" s="150" t="s">
        <v>147</v>
      </c>
      <c r="C195" s="151">
        <v>0.45833333333333331</v>
      </c>
      <c r="D195" s="149" t="s">
        <v>142</v>
      </c>
      <c r="E195" s="149" t="s">
        <v>143</v>
      </c>
      <c r="F195" s="149" t="s">
        <v>144</v>
      </c>
      <c r="G195" s="149">
        <v>123456</v>
      </c>
      <c r="H195" s="149">
        <v>4</v>
      </c>
      <c r="I195" s="149">
        <v>29250</v>
      </c>
      <c r="J195" s="149" t="s">
        <v>137</v>
      </c>
      <c r="K195" s="149" t="s">
        <v>83</v>
      </c>
      <c r="L195" s="149" t="s">
        <v>81</v>
      </c>
      <c r="M195" s="149">
        <v>3</v>
      </c>
      <c r="N195" s="149">
        <v>2000</v>
      </c>
      <c r="O195" s="149">
        <v>2.1</v>
      </c>
      <c r="P195" s="149" t="s">
        <v>75</v>
      </c>
      <c r="Q195" s="149">
        <v>2.16E-5</v>
      </c>
      <c r="R195" s="149">
        <v>1965000</v>
      </c>
      <c r="S195" s="149"/>
      <c r="T195" s="149"/>
      <c r="U195" s="149"/>
      <c r="V195" s="152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  <c r="BI195" s="149"/>
      <c r="BJ195" s="149"/>
      <c r="BK195" s="149"/>
      <c r="BL195" s="149"/>
      <c r="BM195" s="149"/>
      <c r="BN195" s="149"/>
      <c r="BO195" s="149"/>
      <c r="BP195" s="149">
        <v>12.257585066373229</v>
      </c>
      <c r="BQ195" s="149">
        <f t="shared" ca="1" si="15"/>
        <v>11.823907195435309</v>
      </c>
      <c r="BR195" s="149">
        <v>20.515037929441796</v>
      </c>
      <c r="BS195" s="149">
        <v>20.463984627475906</v>
      </c>
      <c r="BT195" s="149">
        <f t="shared" ca="1" si="14"/>
        <v>732.30544459380747</v>
      </c>
      <c r="BU195" s="153">
        <v>28166.062228075094</v>
      </c>
      <c r="BV195" s="149">
        <f t="shared" ca="1" si="16"/>
        <v>2.4925611146277268E-2</v>
      </c>
      <c r="BW195" s="1"/>
    </row>
    <row r="196" spans="1:75" x14ac:dyDescent="0.25">
      <c r="A196" s="149">
        <f t="shared" ref="A196:A246" si="17">A195+1</f>
        <v>195</v>
      </c>
      <c r="B196" s="150" t="s">
        <v>147</v>
      </c>
      <c r="C196" s="151">
        <v>0.45833333333333331</v>
      </c>
      <c r="D196" s="149" t="s">
        <v>142</v>
      </c>
      <c r="E196" s="149" t="s">
        <v>143</v>
      </c>
      <c r="F196" s="149" t="s">
        <v>144</v>
      </c>
      <c r="G196" s="149">
        <v>123456</v>
      </c>
      <c r="H196" s="149">
        <v>4</v>
      </c>
      <c r="I196" s="149">
        <v>29250</v>
      </c>
      <c r="J196" s="149" t="s">
        <v>137</v>
      </c>
      <c r="K196" s="149" t="s">
        <v>83</v>
      </c>
      <c r="L196" s="149" t="s">
        <v>81</v>
      </c>
      <c r="M196" s="149">
        <v>3</v>
      </c>
      <c r="N196" s="149">
        <v>2000</v>
      </c>
      <c r="O196" s="149">
        <v>2.1</v>
      </c>
      <c r="P196" s="149" t="s">
        <v>75</v>
      </c>
      <c r="Q196" s="149">
        <v>2.16E-5</v>
      </c>
      <c r="R196" s="149">
        <v>1965000</v>
      </c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  <c r="BI196" s="149"/>
      <c r="BJ196" s="149"/>
      <c r="BK196" s="149"/>
      <c r="BL196" s="149"/>
      <c r="BM196" s="149"/>
      <c r="BN196" s="149"/>
      <c r="BO196" s="149"/>
      <c r="BP196" s="149">
        <v>14.159912888123728</v>
      </c>
      <c r="BQ196" s="149">
        <f t="shared" ca="1" si="15"/>
        <v>14.140861270911834</v>
      </c>
      <c r="BR196" s="149">
        <v>23.804711354283825</v>
      </c>
      <c r="BS196" s="149">
        <v>23.359659492066733</v>
      </c>
      <c r="BT196" s="149">
        <f t="shared" ca="1" si="14"/>
        <v>646.71982927963006</v>
      </c>
      <c r="BU196" s="153">
        <v>29077.494304413158</v>
      </c>
      <c r="BV196" s="149">
        <f t="shared" ca="1" si="16"/>
        <v>1.8126384038399349E-2</v>
      </c>
      <c r="BW196" s="1"/>
    </row>
    <row r="197" spans="1:75" x14ac:dyDescent="0.25">
      <c r="A197" s="149">
        <f t="shared" si="17"/>
        <v>196</v>
      </c>
      <c r="B197" s="150" t="s">
        <v>147</v>
      </c>
      <c r="C197" s="151">
        <v>0.45833333333333331</v>
      </c>
      <c r="D197" s="149" t="s">
        <v>142</v>
      </c>
      <c r="E197" s="149" t="s">
        <v>143</v>
      </c>
      <c r="F197" s="149" t="s">
        <v>144</v>
      </c>
      <c r="G197" s="149">
        <v>123821</v>
      </c>
      <c r="H197" s="149">
        <v>4</v>
      </c>
      <c r="I197" s="149">
        <v>28045</v>
      </c>
      <c r="J197" s="149" t="s">
        <v>145</v>
      </c>
      <c r="K197" s="149" t="s">
        <v>83</v>
      </c>
      <c r="L197" s="149" t="s">
        <v>81</v>
      </c>
      <c r="M197" s="149">
        <v>3</v>
      </c>
      <c r="N197" s="149">
        <v>2000</v>
      </c>
      <c r="O197" s="149">
        <v>2.1</v>
      </c>
      <c r="P197" s="149" t="s">
        <v>75</v>
      </c>
      <c r="Q197" s="149">
        <v>2.16E-5</v>
      </c>
      <c r="R197" s="149">
        <v>1965000</v>
      </c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  <c r="BK197" s="149"/>
      <c r="BL197" s="149"/>
      <c r="BM197" s="149"/>
      <c r="BN197" s="149"/>
      <c r="BO197" s="149"/>
      <c r="BP197" s="149">
        <v>14.3660362622226</v>
      </c>
      <c r="BQ197" s="149">
        <f t="shared" ca="1" si="15"/>
        <v>14.160820242065908</v>
      </c>
      <c r="BR197" s="149">
        <v>21.908822368384822</v>
      </c>
      <c r="BS197" s="149">
        <v>21.494084561555614</v>
      </c>
      <c r="BT197" s="149">
        <f t="shared" ca="1" si="14"/>
        <v>751.78534675322408</v>
      </c>
      <c r="BU197" s="153">
        <v>27880.048474459309</v>
      </c>
      <c r="BV197" s="149">
        <f t="shared" ca="1" si="16"/>
        <v>2.7113150598873904E-2</v>
      </c>
      <c r="BW197" s="1"/>
    </row>
    <row r="198" spans="1:75" x14ac:dyDescent="0.25">
      <c r="A198" s="149">
        <f t="shared" si="17"/>
        <v>197</v>
      </c>
      <c r="B198" s="150" t="s">
        <v>147</v>
      </c>
      <c r="C198" s="151">
        <v>0.45833333333333331</v>
      </c>
      <c r="D198" s="149" t="s">
        <v>142</v>
      </c>
      <c r="E198" s="149" t="s">
        <v>143</v>
      </c>
      <c r="F198" s="149" t="s">
        <v>144</v>
      </c>
      <c r="G198" s="149">
        <v>123821</v>
      </c>
      <c r="H198" s="149">
        <v>4</v>
      </c>
      <c r="I198" s="149">
        <v>28045</v>
      </c>
      <c r="J198" s="149" t="s">
        <v>145</v>
      </c>
      <c r="K198" s="149" t="s">
        <v>83</v>
      </c>
      <c r="L198" s="149" t="s">
        <v>81</v>
      </c>
      <c r="M198" s="149">
        <v>3</v>
      </c>
      <c r="N198" s="149">
        <v>2000</v>
      </c>
      <c r="O198" s="149">
        <v>2.1</v>
      </c>
      <c r="P198" s="149" t="s">
        <v>75</v>
      </c>
      <c r="Q198" s="149">
        <v>2.16E-5</v>
      </c>
      <c r="R198" s="149">
        <v>1965000</v>
      </c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  <c r="BI198" s="149"/>
      <c r="BJ198" s="149"/>
      <c r="BK198" s="149"/>
      <c r="BL198" s="149"/>
      <c r="BM198" s="149"/>
      <c r="BN198" s="149"/>
      <c r="BO198" s="149"/>
      <c r="BP198" s="149">
        <v>12.677046409619948</v>
      </c>
      <c r="BQ198" s="149">
        <f t="shared" ca="1" si="15"/>
        <v>12.616134254119101</v>
      </c>
      <c r="BR198" s="149">
        <v>21.345118089885414</v>
      </c>
      <c r="BS198" s="149">
        <v>20.981579729508873</v>
      </c>
      <c r="BT198" s="149">
        <f t="shared" ca="1" si="14"/>
        <v>711.4338911666523</v>
      </c>
      <c r="BU198" s="153">
        <v>29518.889797069383</v>
      </c>
      <c r="BV198" s="149">
        <f t="shared" ca="1" si="16"/>
        <v>4.7568950637560765E-3</v>
      </c>
      <c r="BW198" s="1"/>
    </row>
    <row r="199" spans="1:75" x14ac:dyDescent="0.25">
      <c r="A199" s="149">
        <f t="shared" si="17"/>
        <v>198</v>
      </c>
      <c r="B199" s="150" t="s">
        <v>147</v>
      </c>
      <c r="C199" s="151">
        <v>0.45833333333333331</v>
      </c>
      <c r="D199" s="149" t="s">
        <v>142</v>
      </c>
      <c r="E199" s="149" t="s">
        <v>143</v>
      </c>
      <c r="F199" s="149" t="s">
        <v>144</v>
      </c>
      <c r="G199" s="149">
        <v>123456</v>
      </c>
      <c r="H199" s="149">
        <v>4</v>
      </c>
      <c r="I199" s="149">
        <v>29250</v>
      </c>
      <c r="J199" s="149" t="s">
        <v>137</v>
      </c>
      <c r="K199" s="149" t="s">
        <v>83</v>
      </c>
      <c r="L199" s="149" t="s">
        <v>81</v>
      </c>
      <c r="M199" s="149">
        <v>3</v>
      </c>
      <c r="N199" s="149">
        <v>2000</v>
      </c>
      <c r="O199" s="149">
        <v>2.1</v>
      </c>
      <c r="P199" s="149" t="s">
        <v>75</v>
      </c>
      <c r="Q199" s="149">
        <v>2.16E-5</v>
      </c>
      <c r="R199" s="149">
        <v>1965000</v>
      </c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  <c r="BI199" s="149"/>
      <c r="BJ199" s="149"/>
      <c r="BK199" s="149"/>
      <c r="BL199" s="149"/>
      <c r="BM199" s="149"/>
      <c r="BN199" s="149"/>
      <c r="BO199" s="149"/>
      <c r="BP199" s="149">
        <v>14.269122887560741</v>
      </c>
      <c r="BQ199" s="149">
        <f t="shared" ca="1" si="15"/>
        <v>13.787285380446946</v>
      </c>
      <c r="BR199" s="149">
        <v>18.648598453157618</v>
      </c>
      <c r="BS199" s="149">
        <v>18.312466485946207</v>
      </c>
      <c r="BT199" s="149">
        <f t="shared" ca="1" si="14"/>
        <v>715.45917257843598</v>
      </c>
      <c r="BU199" s="153">
        <v>28917.193208734861</v>
      </c>
      <c r="BV199" s="149">
        <f t="shared" ca="1" si="16"/>
        <v>2.7095830600735955E-2</v>
      </c>
      <c r="BW199" s="1"/>
    </row>
    <row r="200" spans="1:75" x14ac:dyDescent="0.25">
      <c r="A200" s="149">
        <f t="shared" si="17"/>
        <v>199</v>
      </c>
      <c r="B200" s="150" t="s">
        <v>147</v>
      </c>
      <c r="C200" s="151">
        <v>0.45833333333333331</v>
      </c>
      <c r="D200" s="149" t="s">
        <v>142</v>
      </c>
      <c r="E200" s="149" t="s">
        <v>143</v>
      </c>
      <c r="F200" s="149" t="s">
        <v>144</v>
      </c>
      <c r="G200" s="149">
        <v>123456</v>
      </c>
      <c r="H200" s="149">
        <v>4</v>
      </c>
      <c r="I200" s="149">
        <v>29250</v>
      </c>
      <c r="J200" s="149" t="s">
        <v>137</v>
      </c>
      <c r="K200" s="149" t="s">
        <v>83</v>
      </c>
      <c r="L200" s="149" t="s">
        <v>81</v>
      </c>
      <c r="M200" s="149">
        <v>3</v>
      </c>
      <c r="N200" s="149">
        <v>2000</v>
      </c>
      <c r="O200" s="149">
        <v>2.1</v>
      </c>
      <c r="P200" s="149" t="s">
        <v>75</v>
      </c>
      <c r="Q200" s="149">
        <v>2.16E-5</v>
      </c>
      <c r="R200" s="149">
        <v>1965000</v>
      </c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  <c r="BI200" s="149"/>
      <c r="BJ200" s="149"/>
      <c r="BK200" s="149"/>
      <c r="BL200" s="149"/>
      <c r="BM200" s="149"/>
      <c r="BN200" s="149"/>
      <c r="BO200" s="149"/>
      <c r="BP200" s="149">
        <v>14.47515738252102</v>
      </c>
      <c r="BQ200" s="149">
        <f t="shared" ca="1" si="15"/>
        <v>14.419707889307794</v>
      </c>
      <c r="BR200" s="149">
        <v>22.769519521903298</v>
      </c>
      <c r="BS200" s="149">
        <v>22.386981421102035</v>
      </c>
      <c r="BT200" s="149">
        <f t="shared" ca="1" si="14"/>
        <v>624.89092056012373</v>
      </c>
      <c r="BU200" s="153">
        <v>28576.107847635965</v>
      </c>
      <c r="BV200" s="149">
        <f t="shared" ca="1" si="16"/>
        <v>1.125294712997592E-2</v>
      </c>
      <c r="BW200" s="1"/>
    </row>
    <row r="201" spans="1:75" x14ac:dyDescent="0.25">
      <c r="A201" s="149">
        <f t="shared" si="17"/>
        <v>200</v>
      </c>
      <c r="B201" s="150" t="s">
        <v>147</v>
      </c>
      <c r="C201" s="151">
        <v>0.45833333333333331</v>
      </c>
      <c r="D201" s="149" t="s">
        <v>142</v>
      </c>
      <c r="E201" s="149" t="s">
        <v>143</v>
      </c>
      <c r="F201" s="149" t="s">
        <v>144</v>
      </c>
      <c r="G201" s="149">
        <v>123821</v>
      </c>
      <c r="H201" s="149">
        <v>4</v>
      </c>
      <c r="I201" s="149">
        <v>28045</v>
      </c>
      <c r="J201" s="149" t="s">
        <v>145</v>
      </c>
      <c r="K201" s="149" t="s">
        <v>83</v>
      </c>
      <c r="L201" s="149" t="s">
        <v>81</v>
      </c>
      <c r="M201" s="149">
        <v>3</v>
      </c>
      <c r="N201" s="149">
        <v>2000</v>
      </c>
      <c r="O201" s="149">
        <v>2.1</v>
      </c>
      <c r="P201" s="149" t="s">
        <v>75</v>
      </c>
      <c r="Q201" s="149">
        <v>2.16E-5</v>
      </c>
      <c r="R201" s="149">
        <v>1965000</v>
      </c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  <c r="BI201" s="149"/>
      <c r="BJ201" s="149"/>
      <c r="BK201" s="149"/>
      <c r="BL201" s="149"/>
      <c r="BM201" s="149"/>
      <c r="BN201" s="149"/>
      <c r="BO201" s="149"/>
      <c r="BP201" s="149">
        <v>13.291948447107067</v>
      </c>
      <c r="BQ201" s="149">
        <f t="shared" ca="1" si="15"/>
        <v>12.879714412689825</v>
      </c>
      <c r="BR201" s="149">
        <v>18.685144460259615</v>
      </c>
      <c r="BS201" s="149">
        <v>18.274373201272141</v>
      </c>
      <c r="BT201" s="149">
        <f t="shared" ca="1" si="14"/>
        <v>642.50697439800535</v>
      </c>
      <c r="BU201" s="153">
        <v>26891.896840527985</v>
      </c>
      <c r="BV201" s="149">
        <f t="shared" ca="1" si="16"/>
        <v>9.4292614070198115E-3</v>
      </c>
      <c r="BW201" s="1"/>
    </row>
    <row r="202" spans="1:75" x14ac:dyDescent="0.25">
      <c r="A202" s="149">
        <f t="shared" si="17"/>
        <v>201</v>
      </c>
      <c r="B202" s="150" t="s">
        <v>147</v>
      </c>
      <c r="C202" s="151">
        <v>0.45833333333333331</v>
      </c>
      <c r="D202" s="149" t="s">
        <v>142</v>
      </c>
      <c r="E202" s="149" t="s">
        <v>143</v>
      </c>
      <c r="F202" s="149" t="s">
        <v>144</v>
      </c>
      <c r="G202" s="149">
        <v>123821</v>
      </c>
      <c r="H202" s="149">
        <v>4</v>
      </c>
      <c r="I202" s="149">
        <v>28045</v>
      </c>
      <c r="J202" s="149" t="s">
        <v>145</v>
      </c>
      <c r="K202" s="149" t="s">
        <v>83</v>
      </c>
      <c r="L202" s="149" t="s">
        <v>81</v>
      </c>
      <c r="M202" s="149">
        <v>3</v>
      </c>
      <c r="N202" s="149">
        <v>2000</v>
      </c>
      <c r="O202" s="149">
        <v>2.1</v>
      </c>
      <c r="P202" s="149" t="s">
        <v>75</v>
      </c>
      <c r="Q202" s="149">
        <v>2.16E-5</v>
      </c>
      <c r="R202" s="149">
        <v>1965000</v>
      </c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>
        <v>12.829549402691768</v>
      </c>
      <c r="BQ202" s="149">
        <f t="shared" ca="1" si="15"/>
        <v>12.369827002404129</v>
      </c>
      <c r="BR202" s="149">
        <v>20.067184389147492</v>
      </c>
      <c r="BS202" s="149">
        <v>19.812523966371181</v>
      </c>
      <c r="BT202" s="149">
        <f t="shared" ca="1" si="14"/>
        <v>706.2054839527492</v>
      </c>
      <c r="BU202" s="153">
        <v>28302.546478220283</v>
      </c>
      <c r="BV202" s="149">
        <f t="shared" ca="1" si="16"/>
        <v>7.9089533551821682E-3</v>
      </c>
      <c r="BW202" s="1"/>
    </row>
    <row r="203" spans="1:75" x14ac:dyDescent="0.25">
      <c r="A203" s="149">
        <f t="shared" si="17"/>
        <v>202</v>
      </c>
      <c r="B203" s="150" t="s">
        <v>147</v>
      </c>
      <c r="C203" s="151">
        <v>0.45833333333333331</v>
      </c>
      <c r="D203" s="149" t="s">
        <v>142</v>
      </c>
      <c r="E203" s="149" t="s">
        <v>143</v>
      </c>
      <c r="F203" s="149" t="s">
        <v>144</v>
      </c>
      <c r="G203" s="149">
        <v>123456</v>
      </c>
      <c r="H203" s="149">
        <v>4</v>
      </c>
      <c r="I203" s="149">
        <v>29250</v>
      </c>
      <c r="J203" s="149" t="s">
        <v>137</v>
      </c>
      <c r="K203" s="149" t="s">
        <v>83</v>
      </c>
      <c r="L203" s="149" t="s">
        <v>81</v>
      </c>
      <c r="M203" s="149">
        <v>3</v>
      </c>
      <c r="N203" s="149">
        <v>2000</v>
      </c>
      <c r="O203" s="149">
        <v>2.1</v>
      </c>
      <c r="P203" s="149" t="s">
        <v>75</v>
      </c>
      <c r="Q203" s="149">
        <v>2.16E-5</v>
      </c>
      <c r="R203" s="149">
        <v>1965000</v>
      </c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  <c r="BI203" s="149"/>
      <c r="BJ203" s="149"/>
      <c r="BK203" s="149"/>
      <c r="BL203" s="149"/>
      <c r="BM203" s="149"/>
      <c r="BN203" s="149"/>
      <c r="BO203" s="149"/>
      <c r="BP203" s="149">
        <v>13.949665833421063</v>
      </c>
      <c r="BQ203" s="149">
        <f t="shared" ca="1" si="15"/>
        <v>13.671488051837004</v>
      </c>
      <c r="BR203" s="149">
        <v>21.450096236612115</v>
      </c>
      <c r="BS203" s="149">
        <v>21.03281854416306</v>
      </c>
      <c r="BT203" s="149">
        <f t="shared" ca="1" si="14"/>
        <v>607.91007469071258</v>
      </c>
      <c r="BU203" s="153">
        <v>28090.19987978294</v>
      </c>
      <c r="BV203" s="149">
        <f t="shared" ca="1" si="16"/>
        <v>1.8949397288191359E-2</v>
      </c>
      <c r="BW203" s="1"/>
    </row>
    <row r="204" spans="1:75" x14ac:dyDescent="0.25">
      <c r="A204" s="149">
        <f t="shared" si="17"/>
        <v>203</v>
      </c>
      <c r="B204" s="150" t="s">
        <v>147</v>
      </c>
      <c r="C204" s="151">
        <v>0.45833333333333331</v>
      </c>
      <c r="D204" s="149" t="s">
        <v>142</v>
      </c>
      <c r="E204" s="149" t="s">
        <v>143</v>
      </c>
      <c r="F204" s="149" t="s">
        <v>144</v>
      </c>
      <c r="G204" s="149">
        <v>123456</v>
      </c>
      <c r="H204" s="149">
        <v>4</v>
      </c>
      <c r="I204" s="149">
        <v>29250</v>
      </c>
      <c r="J204" s="149" t="s">
        <v>137</v>
      </c>
      <c r="K204" s="149" t="s">
        <v>83</v>
      </c>
      <c r="L204" s="149" t="s">
        <v>81</v>
      </c>
      <c r="M204" s="149">
        <v>3</v>
      </c>
      <c r="N204" s="149">
        <v>2000</v>
      </c>
      <c r="O204" s="149">
        <v>2.1</v>
      </c>
      <c r="P204" s="149" t="s">
        <v>75</v>
      </c>
      <c r="Q204" s="149">
        <v>2.16E-5</v>
      </c>
      <c r="R204" s="149">
        <v>1965000</v>
      </c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  <c r="BI204" s="149"/>
      <c r="BJ204" s="149"/>
      <c r="BK204" s="149"/>
      <c r="BL204" s="149"/>
      <c r="BM204" s="149"/>
      <c r="BN204" s="149"/>
      <c r="BO204" s="149"/>
      <c r="BP204" s="149">
        <v>13.560765873976235</v>
      </c>
      <c r="BQ204" s="149">
        <f t="shared" ca="1" si="15"/>
        <v>13.176889410024472</v>
      </c>
      <c r="BR204" s="149">
        <v>18.942527058231171</v>
      </c>
      <c r="BS204" s="149">
        <v>18.775491650092288</v>
      </c>
      <c r="BT204" s="149">
        <f t="shared" ca="1" si="14"/>
        <v>690.48020186923031</v>
      </c>
      <c r="BU204" s="153">
        <v>29620.105844447746</v>
      </c>
      <c r="BV204" s="149">
        <f t="shared" ca="1" si="16"/>
        <v>5.9916044264482632E-3</v>
      </c>
      <c r="BW204" s="1"/>
    </row>
    <row r="205" spans="1:75" x14ac:dyDescent="0.25">
      <c r="A205" s="149">
        <f t="shared" si="17"/>
        <v>204</v>
      </c>
      <c r="B205" s="150" t="s">
        <v>147</v>
      </c>
      <c r="C205" s="151">
        <v>0.45833333333333331</v>
      </c>
      <c r="D205" s="149" t="s">
        <v>142</v>
      </c>
      <c r="E205" s="149" t="s">
        <v>143</v>
      </c>
      <c r="F205" s="149" t="s">
        <v>144</v>
      </c>
      <c r="G205" s="149">
        <v>123821</v>
      </c>
      <c r="H205" s="149">
        <v>4</v>
      </c>
      <c r="I205" s="149">
        <v>28045</v>
      </c>
      <c r="J205" s="149" t="s">
        <v>145</v>
      </c>
      <c r="K205" s="149" t="s">
        <v>83</v>
      </c>
      <c r="L205" s="149" t="s">
        <v>81</v>
      </c>
      <c r="M205" s="149">
        <v>3</v>
      </c>
      <c r="N205" s="149">
        <v>2000</v>
      </c>
      <c r="O205" s="149">
        <v>2.1</v>
      </c>
      <c r="P205" s="149" t="s">
        <v>75</v>
      </c>
      <c r="Q205" s="149">
        <v>2.16E-5</v>
      </c>
      <c r="R205" s="149">
        <v>1965000</v>
      </c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  <c r="BI205" s="149"/>
      <c r="BJ205" s="149"/>
      <c r="BK205" s="149"/>
      <c r="BL205" s="149"/>
      <c r="BM205" s="149"/>
      <c r="BN205" s="149"/>
      <c r="BO205" s="149"/>
      <c r="BP205" s="149">
        <v>13.888937553897595</v>
      </c>
      <c r="BQ205" s="149">
        <f t="shared" ca="1" si="15"/>
        <v>13.718395577849105</v>
      </c>
      <c r="BR205" s="149">
        <v>21.024941586553272</v>
      </c>
      <c r="BS205" s="149">
        <v>20.622440954954733</v>
      </c>
      <c r="BT205" s="149">
        <f t="shared" ca="1" si="14"/>
        <v>758.89847769116761</v>
      </c>
      <c r="BU205" s="153">
        <v>28637.140152187108</v>
      </c>
      <c r="BV205" s="149">
        <f t="shared" ca="1" si="16"/>
        <v>2.0727018470647045E-2</v>
      </c>
      <c r="BW205" s="1"/>
    </row>
    <row r="206" spans="1:75" x14ac:dyDescent="0.25">
      <c r="A206" s="149">
        <f t="shared" si="17"/>
        <v>205</v>
      </c>
      <c r="B206" s="150" t="s">
        <v>147</v>
      </c>
      <c r="C206" s="151">
        <v>0.45833333333333331</v>
      </c>
      <c r="D206" s="149" t="s">
        <v>142</v>
      </c>
      <c r="E206" s="149" t="s">
        <v>143</v>
      </c>
      <c r="F206" s="149" t="s">
        <v>144</v>
      </c>
      <c r="G206" s="149">
        <v>123821</v>
      </c>
      <c r="H206" s="149">
        <v>4</v>
      </c>
      <c r="I206" s="149">
        <v>28045</v>
      </c>
      <c r="J206" s="149" t="s">
        <v>145</v>
      </c>
      <c r="K206" s="149" t="s">
        <v>83</v>
      </c>
      <c r="L206" s="149" t="s">
        <v>81</v>
      </c>
      <c r="M206" s="149">
        <v>3</v>
      </c>
      <c r="N206" s="149">
        <v>2000</v>
      </c>
      <c r="O206" s="149">
        <v>2.1</v>
      </c>
      <c r="P206" s="149" t="s">
        <v>75</v>
      </c>
      <c r="Q206" s="149">
        <v>2.16E-5</v>
      </c>
      <c r="R206" s="149">
        <v>1965000</v>
      </c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  <c r="BI206" s="149"/>
      <c r="BJ206" s="149"/>
      <c r="BK206" s="149"/>
      <c r="BL206" s="149"/>
      <c r="BM206" s="149"/>
      <c r="BN206" s="149"/>
      <c r="BO206" s="149"/>
      <c r="BP206" s="149">
        <v>12.365591985203878</v>
      </c>
      <c r="BQ206" s="149">
        <f t="shared" ca="1" si="15"/>
        <v>12.080096999752831</v>
      </c>
      <c r="BR206" s="149">
        <v>23.989910819291055</v>
      </c>
      <c r="BS206" s="149">
        <v>23.957443133816785</v>
      </c>
      <c r="BT206" s="149">
        <f t="shared" ca="1" si="14"/>
        <v>685.05219346333058</v>
      </c>
      <c r="BU206" s="153">
        <v>27678.670694579378</v>
      </c>
      <c r="BV206" s="149">
        <f t="shared" ca="1" si="16"/>
        <v>1.1466410884059367E-2</v>
      </c>
      <c r="BW206" s="1"/>
    </row>
    <row r="207" spans="1:75" x14ac:dyDescent="0.25">
      <c r="A207" s="149">
        <f t="shared" si="17"/>
        <v>206</v>
      </c>
      <c r="B207" s="150" t="s">
        <v>147</v>
      </c>
      <c r="C207" s="151">
        <v>0.45833333333333331</v>
      </c>
      <c r="D207" s="149" t="s">
        <v>142</v>
      </c>
      <c r="E207" s="149" t="s">
        <v>143</v>
      </c>
      <c r="F207" s="149" t="s">
        <v>144</v>
      </c>
      <c r="G207" s="149">
        <v>123456</v>
      </c>
      <c r="H207" s="149">
        <v>4</v>
      </c>
      <c r="I207" s="149">
        <v>29250</v>
      </c>
      <c r="J207" s="149" t="s">
        <v>137</v>
      </c>
      <c r="K207" s="149" t="s">
        <v>83</v>
      </c>
      <c r="L207" s="149" t="s">
        <v>81</v>
      </c>
      <c r="M207" s="149">
        <v>3</v>
      </c>
      <c r="N207" s="149">
        <v>2000</v>
      </c>
      <c r="O207" s="149">
        <v>2.1</v>
      </c>
      <c r="P207" s="149" t="s">
        <v>75</v>
      </c>
      <c r="Q207" s="149">
        <v>2.16E-5</v>
      </c>
      <c r="R207" s="149">
        <v>1965000</v>
      </c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>
        <v>12.400143016677008</v>
      </c>
      <c r="BQ207" s="149">
        <f t="shared" ca="1" si="15"/>
        <v>12.198100473748612</v>
      </c>
      <c r="BR207" s="149">
        <v>23.274620145851813</v>
      </c>
      <c r="BS207" s="149">
        <v>22.985025792101222</v>
      </c>
      <c r="BT207" s="149">
        <f t="shared" ca="1" si="14"/>
        <v>789.81204259935839</v>
      </c>
      <c r="BU207" s="153">
        <v>27180.995576579753</v>
      </c>
      <c r="BV207" s="149">
        <f t="shared" ca="1" si="16"/>
        <v>2.2699653045437945E-2</v>
      </c>
      <c r="BW207" s="1"/>
    </row>
    <row r="208" spans="1:75" x14ac:dyDescent="0.25">
      <c r="A208" s="149">
        <f t="shared" si="17"/>
        <v>207</v>
      </c>
      <c r="B208" s="150" t="s">
        <v>147</v>
      </c>
      <c r="C208" s="151">
        <v>0.45833333333333331</v>
      </c>
      <c r="D208" s="149" t="s">
        <v>142</v>
      </c>
      <c r="E208" s="149" t="s">
        <v>143</v>
      </c>
      <c r="F208" s="149" t="s">
        <v>144</v>
      </c>
      <c r="G208" s="149">
        <v>123456</v>
      </c>
      <c r="H208" s="149">
        <v>4</v>
      </c>
      <c r="I208" s="149">
        <v>29250</v>
      </c>
      <c r="J208" s="149" t="s">
        <v>137</v>
      </c>
      <c r="K208" s="149" t="s">
        <v>83</v>
      </c>
      <c r="L208" s="149" t="s">
        <v>81</v>
      </c>
      <c r="M208" s="149">
        <v>3</v>
      </c>
      <c r="N208" s="149">
        <v>2000</v>
      </c>
      <c r="O208" s="149">
        <v>2.1</v>
      </c>
      <c r="P208" s="149" t="s">
        <v>75</v>
      </c>
      <c r="Q208" s="149">
        <v>2.16E-5</v>
      </c>
      <c r="R208" s="149">
        <v>1965000</v>
      </c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  <c r="BI208" s="149"/>
      <c r="BJ208" s="149"/>
      <c r="BK208" s="149"/>
      <c r="BL208" s="149"/>
      <c r="BM208" s="149"/>
      <c r="BN208" s="149"/>
      <c r="BO208" s="149"/>
      <c r="BP208" s="149">
        <v>12.597400721441812</v>
      </c>
      <c r="BQ208" s="149">
        <f t="shared" ca="1" si="15"/>
        <v>12.453740743222642</v>
      </c>
      <c r="BR208" s="149">
        <v>23.416616446872588</v>
      </c>
      <c r="BS208" s="149">
        <v>22.957358746636999</v>
      </c>
      <c r="BT208" s="149">
        <f t="shared" ca="1" si="14"/>
        <v>717.5208649019936</v>
      </c>
      <c r="BU208" s="153">
        <v>28700.489561928087</v>
      </c>
      <c r="BV208" s="149">
        <f t="shared" ca="1" si="16"/>
        <v>8.6404806373669082E-3</v>
      </c>
      <c r="BW208" s="1"/>
    </row>
    <row r="209" spans="1:75" x14ac:dyDescent="0.25">
      <c r="A209" s="149">
        <f t="shared" si="17"/>
        <v>208</v>
      </c>
      <c r="B209" s="150" t="s">
        <v>147</v>
      </c>
      <c r="C209" s="151">
        <v>0.45833333333333331</v>
      </c>
      <c r="D209" s="149" t="s">
        <v>142</v>
      </c>
      <c r="E209" s="149" t="s">
        <v>143</v>
      </c>
      <c r="F209" s="149" t="s">
        <v>144</v>
      </c>
      <c r="G209" s="149">
        <v>123821</v>
      </c>
      <c r="H209" s="149">
        <v>4</v>
      </c>
      <c r="I209" s="149">
        <v>28045</v>
      </c>
      <c r="J209" s="149" t="s">
        <v>145</v>
      </c>
      <c r="K209" s="149" t="s">
        <v>83</v>
      </c>
      <c r="L209" s="149" t="s">
        <v>81</v>
      </c>
      <c r="M209" s="149">
        <v>3</v>
      </c>
      <c r="N209" s="149">
        <v>2000</v>
      </c>
      <c r="O209" s="149">
        <v>2.1</v>
      </c>
      <c r="P209" s="149" t="s">
        <v>75</v>
      </c>
      <c r="Q209" s="149">
        <v>2.16E-5</v>
      </c>
      <c r="R209" s="149">
        <v>1965000</v>
      </c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  <c r="BI209" s="149"/>
      <c r="BJ209" s="149"/>
      <c r="BK209" s="149"/>
      <c r="BL209" s="149"/>
      <c r="BM209" s="149"/>
      <c r="BN209" s="149"/>
      <c r="BO209" s="149"/>
      <c r="BP209" s="149">
        <v>13.841228555550529</v>
      </c>
      <c r="BQ209" s="149">
        <f t="shared" ca="1" si="15"/>
        <v>13.515643864079172</v>
      </c>
      <c r="BR209" s="149">
        <v>22.616150545204476</v>
      </c>
      <c r="BS209" s="149">
        <v>22.380316924958834</v>
      </c>
      <c r="BT209" s="149">
        <f t="shared" ca="1" si="14"/>
        <v>691.49275579893265</v>
      </c>
      <c r="BU209" s="153">
        <v>29126.905985515103</v>
      </c>
      <c r="BV209" s="149">
        <f t="shared" ca="1" si="16"/>
        <v>1.3235215114862104E-2</v>
      </c>
      <c r="BW209" s="1"/>
    </row>
    <row r="210" spans="1:75" x14ac:dyDescent="0.25">
      <c r="A210" s="149">
        <f t="shared" si="17"/>
        <v>209</v>
      </c>
      <c r="B210" s="150" t="s">
        <v>147</v>
      </c>
      <c r="C210" s="151">
        <v>0.45833333333333331</v>
      </c>
      <c r="D210" s="149" t="s">
        <v>142</v>
      </c>
      <c r="E210" s="149" t="s">
        <v>143</v>
      </c>
      <c r="F210" s="149" t="s">
        <v>144</v>
      </c>
      <c r="G210" s="149">
        <v>123821</v>
      </c>
      <c r="H210" s="149">
        <v>4</v>
      </c>
      <c r="I210" s="149">
        <v>28045</v>
      </c>
      <c r="J210" s="149" t="s">
        <v>145</v>
      </c>
      <c r="K210" s="149" t="s">
        <v>83</v>
      </c>
      <c r="L210" s="149" t="s">
        <v>81</v>
      </c>
      <c r="M210" s="149">
        <v>3</v>
      </c>
      <c r="N210" s="149">
        <v>2000</v>
      </c>
      <c r="O210" s="149">
        <v>2.1</v>
      </c>
      <c r="P210" s="149" t="s">
        <v>75</v>
      </c>
      <c r="Q210" s="149">
        <v>2.16E-5</v>
      </c>
      <c r="R210" s="149">
        <v>1965000</v>
      </c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  <c r="BI210" s="149"/>
      <c r="BJ210" s="149"/>
      <c r="BK210" s="149"/>
      <c r="BL210" s="149"/>
      <c r="BM210" s="149"/>
      <c r="BN210" s="149"/>
      <c r="BO210" s="149"/>
      <c r="BP210" s="149">
        <v>13.079716357763637</v>
      </c>
      <c r="BQ210" s="149">
        <f t="shared" ca="1" si="15"/>
        <v>12.606977170048832</v>
      </c>
      <c r="BR210" s="149">
        <v>22.60548969213729</v>
      </c>
      <c r="BS210" s="149">
        <v>22.500814118028192</v>
      </c>
      <c r="BT210" s="149">
        <f t="shared" ca="1" si="14"/>
        <v>772.41969505945303</v>
      </c>
      <c r="BU210" s="153">
        <v>29078.767920502531</v>
      </c>
      <c r="BV210" s="149">
        <f t="shared" ca="1" si="16"/>
        <v>1.2382084235306939E-2</v>
      </c>
      <c r="BW210" s="1"/>
    </row>
    <row r="211" spans="1:75" x14ac:dyDescent="0.25">
      <c r="A211" s="149">
        <f t="shared" si="17"/>
        <v>210</v>
      </c>
      <c r="B211" s="150" t="s">
        <v>147</v>
      </c>
      <c r="C211" s="151">
        <v>0.45833333333333331</v>
      </c>
      <c r="D211" s="149" t="s">
        <v>142</v>
      </c>
      <c r="E211" s="149" t="s">
        <v>143</v>
      </c>
      <c r="F211" s="149" t="s">
        <v>144</v>
      </c>
      <c r="G211" s="149">
        <v>123456</v>
      </c>
      <c r="H211" s="149">
        <v>4</v>
      </c>
      <c r="I211" s="149">
        <v>29250</v>
      </c>
      <c r="J211" s="149" t="s">
        <v>137</v>
      </c>
      <c r="K211" s="149" t="s">
        <v>83</v>
      </c>
      <c r="L211" s="149" t="s">
        <v>81</v>
      </c>
      <c r="M211" s="149">
        <v>3</v>
      </c>
      <c r="N211" s="149">
        <v>2000</v>
      </c>
      <c r="O211" s="149">
        <v>2.1</v>
      </c>
      <c r="P211" s="149" t="s">
        <v>75</v>
      </c>
      <c r="Q211" s="149">
        <v>2.16E-5</v>
      </c>
      <c r="R211" s="149">
        <v>1965000</v>
      </c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  <c r="BI211" s="149"/>
      <c r="BJ211" s="149"/>
      <c r="BK211" s="149"/>
      <c r="BL211" s="149"/>
      <c r="BM211" s="149"/>
      <c r="BN211" s="149"/>
      <c r="BO211" s="149"/>
      <c r="BP211" s="149">
        <v>13.399417373443288</v>
      </c>
      <c r="BQ211" s="149">
        <f t="shared" ca="1" si="15"/>
        <v>13.059488092085612</v>
      </c>
      <c r="BR211" s="149">
        <v>23.557447411278993</v>
      </c>
      <c r="BS211" s="149">
        <v>23.108012463301826</v>
      </c>
      <c r="BT211" s="149">
        <f t="shared" ca="1" si="14"/>
        <v>678.81072384513584</v>
      </c>
      <c r="BU211" s="153">
        <v>27735.366226518552</v>
      </c>
      <c r="BV211" s="149">
        <f t="shared" ca="1" si="16"/>
        <v>2.380310586598439E-2</v>
      </c>
    </row>
    <row r="212" spans="1:75" x14ac:dyDescent="0.25">
      <c r="A212" s="149">
        <f t="shared" si="17"/>
        <v>211</v>
      </c>
      <c r="B212" s="150" t="s">
        <v>147</v>
      </c>
      <c r="C212" s="151">
        <v>0.45833333333333331</v>
      </c>
      <c r="D212" s="149" t="s">
        <v>142</v>
      </c>
      <c r="E212" s="149" t="s">
        <v>143</v>
      </c>
      <c r="F212" s="149" t="s">
        <v>144</v>
      </c>
      <c r="G212" s="149">
        <v>123821</v>
      </c>
      <c r="H212" s="149">
        <v>4</v>
      </c>
      <c r="I212" s="149">
        <v>28045</v>
      </c>
      <c r="J212" s="149" t="s">
        <v>145</v>
      </c>
      <c r="K212" s="149" t="s">
        <v>83</v>
      </c>
      <c r="L212" s="149" t="s">
        <v>81</v>
      </c>
      <c r="M212" s="149">
        <v>3</v>
      </c>
      <c r="N212" s="149">
        <v>2000</v>
      </c>
      <c r="O212" s="149">
        <v>2.1</v>
      </c>
      <c r="P212" s="149" t="s">
        <v>75</v>
      </c>
      <c r="Q212" s="149">
        <v>2.16E-5</v>
      </c>
      <c r="R212" s="149">
        <v>1965000</v>
      </c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  <c r="BK212" s="149"/>
      <c r="BL212" s="149"/>
      <c r="BM212" s="149"/>
      <c r="BN212" s="149"/>
      <c r="BO212" s="149"/>
      <c r="BP212" s="149">
        <v>13.186185181357837</v>
      </c>
      <c r="BQ212" s="149">
        <f t="shared" ca="1" si="15"/>
        <v>13.12953628624099</v>
      </c>
      <c r="BR212" s="149">
        <v>21.835769806018163</v>
      </c>
      <c r="BS212" s="149">
        <v>21.759797063878445</v>
      </c>
      <c r="BT212" s="149">
        <f t="shared" ca="1" si="14"/>
        <v>623.77785707022508</v>
      </c>
      <c r="BU212" s="153">
        <v>27098.510459361249</v>
      </c>
      <c r="BV212" s="149">
        <f t="shared" ca="1" si="16"/>
        <v>2.2030791886021691E-2</v>
      </c>
    </row>
    <row r="213" spans="1:75" x14ac:dyDescent="0.25">
      <c r="A213" s="149">
        <f t="shared" si="17"/>
        <v>212</v>
      </c>
      <c r="B213" s="150" t="s">
        <v>147</v>
      </c>
      <c r="C213" s="151">
        <v>0.45833333333333331</v>
      </c>
      <c r="D213" s="149" t="s">
        <v>142</v>
      </c>
      <c r="E213" s="149" t="s">
        <v>143</v>
      </c>
      <c r="F213" s="149" t="s">
        <v>144</v>
      </c>
      <c r="G213" s="149">
        <v>123821</v>
      </c>
      <c r="H213" s="149">
        <v>4</v>
      </c>
      <c r="I213" s="149">
        <v>28045</v>
      </c>
      <c r="J213" s="149" t="s">
        <v>145</v>
      </c>
      <c r="K213" s="149" t="s">
        <v>83</v>
      </c>
      <c r="L213" s="149" t="s">
        <v>81</v>
      </c>
      <c r="M213" s="149">
        <v>3</v>
      </c>
      <c r="N213" s="149">
        <v>2000</v>
      </c>
      <c r="O213" s="149">
        <v>2.1</v>
      </c>
      <c r="P213" s="149" t="s">
        <v>75</v>
      </c>
      <c r="Q213" s="149">
        <v>2.16E-5</v>
      </c>
      <c r="R213" s="149">
        <v>1965000</v>
      </c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  <c r="BI213" s="149"/>
      <c r="BJ213" s="149"/>
      <c r="BK213" s="149"/>
      <c r="BL213" s="149"/>
      <c r="BM213" s="149"/>
      <c r="BN213" s="149"/>
      <c r="BO213" s="149"/>
      <c r="BP213" s="149">
        <v>12.040114246598263</v>
      </c>
      <c r="BQ213" s="149">
        <f t="shared" ca="1" si="15"/>
        <v>11.977710053033677</v>
      </c>
      <c r="BR213" s="149">
        <v>20.662353400924466</v>
      </c>
      <c r="BS213" s="149">
        <v>20.355753739687952</v>
      </c>
      <c r="BT213" s="149">
        <f t="shared" ca="1" si="14"/>
        <v>682.17326665819644</v>
      </c>
      <c r="BU213" s="153">
        <v>29435.904085596434</v>
      </c>
      <c r="BV213" s="149">
        <f t="shared" ca="1" si="16"/>
        <v>1.4732180090716517E-2</v>
      </c>
    </row>
    <row r="214" spans="1:75" x14ac:dyDescent="0.25">
      <c r="A214" s="149">
        <f t="shared" si="17"/>
        <v>213</v>
      </c>
      <c r="B214" s="150" t="s">
        <v>147</v>
      </c>
      <c r="C214" s="151">
        <v>0.45833333333333331</v>
      </c>
      <c r="D214" s="149" t="s">
        <v>142</v>
      </c>
      <c r="E214" s="149" t="s">
        <v>143</v>
      </c>
      <c r="F214" s="149" t="s">
        <v>144</v>
      </c>
      <c r="G214" s="149">
        <v>123456</v>
      </c>
      <c r="H214" s="149">
        <v>4</v>
      </c>
      <c r="I214" s="149">
        <v>29250</v>
      </c>
      <c r="J214" s="149" t="s">
        <v>137</v>
      </c>
      <c r="K214" s="149" t="s">
        <v>83</v>
      </c>
      <c r="L214" s="149" t="s">
        <v>81</v>
      </c>
      <c r="M214" s="149">
        <v>3</v>
      </c>
      <c r="N214" s="149">
        <v>2000</v>
      </c>
      <c r="O214" s="149">
        <v>2.1</v>
      </c>
      <c r="P214" s="149" t="s">
        <v>75</v>
      </c>
      <c r="Q214" s="149">
        <v>2.16E-5</v>
      </c>
      <c r="R214" s="149">
        <v>1965000</v>
      </c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  <c r="BI214" s="149"/>
      <c r="BJ214" s="149"/>
      <c r="BK214" s="149"/>
      <c r="BL214" s="149"/>
      <c r="BM214" s="149"/>
      <c r="BN214" s="149"/>
      <c r="BO214" s="149"/>
      <c r="BP214" s="149">
        <v>14.429481704408108</v>
      </c>
      <c r="BQ214" s="149">
        <f t="shared" ca="1" si="15"/>
        <v>14.222146054807286</v>
      </c>
      <c r="BR214" s="149">
        <v>19.715572821569815</v>
      </c>
      <c r="BS214" s="149">
        <v>19.382675020473901</v>
      </c>
      <c r="BT214" s="149">
        <f t="shared" ca="1" si="14"/>
        <v>700.91526331828186</v>
      </c>
      <c r="BU214" s="153">
        <v>29223.099044672563</v>
      </c>
      <c r="BV214" s="149">
        <f t="shared" ca="1" si="16"/>
        <v>1.5361162390776823E-2</v>
      </c>
    </row>
    <row r="215" spans="1:75" x14ac:dyDescent="0.25">
      <c r="A215" s="149">
        <f t="shared" si="17"/>
        <v>214</v>
      </c>
      <c r="B215" s="150" t="s">
        <v>147</v>
      </c>
      <c r="C215" s="151">
        <v>0.45833333333333331</v>
      </c>
      <c r="D215" s="149" t="s">
        <v>142</v>
      </c>
      <c r="E215" s="149" t="s">
        <v>143</v>
      </c>
      <c r="F215" s="149" t="s">
        <v>144</v>
      </c>
      <c r="G215" s="149">
        <v>123456</v>
      </c>
      <c r="H215" s="149">
        <v>4</v>
      </c>
      <c r="I215" s="149">
        <v>29250</v>
      </c>
      <c r="J215" s="149" t="s">
        <v>137</v>
      </c>
      <c r="K215" s="149" t="s">
        <v>83</v>
      </c>
      <c r="L215" s="149" t="s">
        <v>81</v>
      </c>
      <c r="M215" s="149">
        <v>3</v>
      </c>
      <c r="N215" s="149">
        <v>2000</v>
      </c>
      <c r="O215" s="149">
        <v>2.1</v>
      </c>
      <c r="P215" s="149" t="s">
        <v>75</v>
      </c>
      <c r="Q215" s="149">
        <v>2.16E-5</v>
      </c>
      <c r="R215" s="149">
        <v>1965000</v>
      </c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  <c r="BI215" s="149"/>
      <c r="BJ215" s="149"/>
      <c r="BK215" s="149"/>
      <c r="BL215" s="149"/>
      <c r="BM215" s="149"/>
      <c r="BN215" s="149"/>
      <c r="BO215" s="149"/>
      <c r="BP215" s="149">
        <v>14.374690456825801</v>
      </c>
      <c r="BQ215" s="149">
        <f t="shared" ca="1" si="15"/>
        <v>14.255589465110866</v>
      </c>
      <c r="BR215" s="149">
        <v>24.047480134245596</v>
      </c>
      <c r="BS215" s="149">
        <v>23.827273116364978</v>
      </c>
      <c r="BT215" s="149">
        <f t="shared" ca="1" si="14"/>
        <v>697.51054057347551</v>
      </c>
      <c r="BU215" s="153">
        <v>27552.32186986403</v>
      </c>
      <c r="BV215" s="149">
        <f t="shared" ca="1" si="16"/>
        <v>2.2073641927756255E-2</v>
      </c>
    </row>
    <row r="216" spans="1:75" x14ac:dyDescent="0.25">
      <c r="A216" s="149">
        <f t="shared" si="17"/>
        <v>215</v>
      </c>
      <c r="B216" s="150" t="s">
        <v>147</v>
      </c>
      <c r="C216" s="151">
        <v>0.45833333333333331</v>
      </c>
      <c r="D216" s="149" t="s">
        <v>142</v>
      </c>
      <c r="E216" s="149" t="s">
        <v>143</v>
      </c>
      <c r="F216" s="149" t="s">
        <v>144</v>
      </c>
      <c r="G216" s="149">
        <v>123821</v>
      </c>
      <c r="H216" s="149">
        <v>4</v>
      </c>
      <c r="I216" s="149">
        <v>28045</v>
      </c>
      <c r="J216" s="149" t="s">
        <v>145</v>
      </c>
      <c r="K216" s="149" t="s">
        <v>83</v>
      </c>
      <c r="L216" s="149" t="s">
        <v>81</v>
      </c>
      <c r="M216" s="149">
        <v>3</v>
      </c>
      <c r="N216" s="149">
        <v>2000</v>
      </c>
      <c r="O216" s="149">
        <v>2.1</v>
      </c>
      <c r="P216" s="149" t="s">
        <v>75</v>
      </c>
      <c r="Q216" s="149">
        <v>2.16E-5</v>
      </c>
      <c r="R216" s="149">
        <v>1965000</v>
      </c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  <c r="BI216" s="149"/>
      <c r="BJ216" s="149"/>
      <c r="BK216" s="149"/>
      <c r="BL216" s="149"/>
      <c r="BM216" s="149"/>
      <c r="BN216" s="149"/>
      <c r="BO216" s="149"/>
      <c r="BP216" s="149">
        <v>14.666613010950778</v>
      </c>
      <c r="BQ216" s="149">
        <f t="shared" ca="1" si="15"/>
        <v>14.25947273859739</v>
      </c>
      <c r="BR216" s="149">
        <v>20.188904259563625</v>
      </c>
      <c r="BS216" s="149">
        <v>19.996678305284018</v>
      </c>
      <c r="BT216" s="149">
        <f t="shared" ca="1" si="14"/>
        <v>613.77858632649554</v>
      </c>
      <c r="BU216" s="153">
        <v>27436.463593441746</v>
      </c>
      <c r="BV216" s="149">
        <f t="shared" ca="1" si="16"/>
        <v>2.3968201972713307E-2</v>
      </c>
    </row>
    <row r="217" spans="1:75" x14ac:dyDescent="0.25">
      <c r="A217" s="149">
        <f t="shared" si="17"/>
        <v>216</v>
      </c>
      <c r="B217" s="150" t="s">
        <v>147</v>
      </c>
      <c r="C217" s="151">
        <v>0.45833333333333331</v>
      </c>
      <c r="D217" s="149" t="s">
        <v>142</v>
      </c>
      <c r="E217" s="149" t="s">
        <v>143</v>
      </c>
      <c r="F217" s="149" t="s">
        <v>144</v>
      </c>
      <c r="G217" s="149">
        <v>123821</v>
      </c>
      <c r="H217" s="149">
        <v>4</v>
      </c>
      <c r="I217" s="149">
        <v>28045</v>
      </c>
      <c r="J217" s="149" t="s">
        <v>145</v>
      </c>
      <c r="K217" s="149" t="s">
        <v>83</v>
      </c>
      <c r="L217" s="149" t="s">
        <v>81</v>
      </c>
      <c r="M217" s="149">
        <v>3</v>
      </c>
      <c r="N217" s="149">
        <v>2000</v>
      </c>
      <c r="O217" s="149">
        <v>2.1</v>
      </c>
      <c r="P217" s="149" t="s">
        <v>75</v>
      </c>
      <c r="Q217" s="149">
        <v>2.16E-5</v>
      </c>
      <c r="R217" s="149">
        <v>1965000</v>
      </c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>
        <v>14.442685823188492</v>
      </c>
      <c r="BQ217" s="149">
        <f t="shared" ca="1" si="15"/>
        <v>14.440822193650353</v>
      </c>
      <c r="BR217" s="149">
        <v>19.715923383286857</v>
      </c>
      <c r="BS217" s="149">
        <v>19.476951470917701</v>
      </c>
      <c r="BT217" s="149">
        <f t="shared" ca="1" si="14"/>
        <v>609.9252181007563</v>
      </c>
      <c r="BU217" s="153">
        <v>28705.47092861521</v>
      </c>
      <c r="BV217" s="149">
        <f t="shared" ca="1" si="16"/>
        <v>4.7850765264391987E-3</v>
      </c>
    </row>
    <row r="218" spans="1:75" x14ac:dyDescent="0.25">
      <c r="A218" s="149">
        <f t="shared" si="17"/>
        <v>217</v>
      </c>
      <c r="B218" s="150" t="s">
        <v>147</v>
      </c>
      <c r="C218" s="151">
        <v>0.45833333333333331</v>
      </c>
      <c r="D218" s="149" t="s">
        <v>142</v>
      </c>
      <c r="E218" s="149" t="s">
        <v>143</v>
      </c>
      <c r="F218" s="149" t="s">
        <v>144</v>
      </c>
      <c r="G218" s="149">
        <v>123456</v>
      </c>
      <c r="H218" s="149">
        <v>4</v>
      </c>
      <c r="I218" s="149">
        <v>29250</v>
      </c>
      <c r="J218" s="149" t="s">
        <v>137</v>
      </c>
      <c r="K218" s="149" t="s">
        <v>83</v>
      </c>
      <c r="L218" s="149" t="s">
        <v>81</v>
      </c>
      <c r="M218" s="149">
        <v>3</v>
      </c>
      <c r="N218" s="149">
        <v>2000</v>
      </c>
      <c r="O218" s="149">
        <v>2.1</v>
      </c>
      <c r="P218" s="149" t="s">
        <v>75</v>
      </c>
      <c r="Q218" s="149">
        <v>2.16E-5</v>
      </c>
      <c r="R218" s="149">
        <v>1965000</v>
      </c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  <c r="BI218" s="149"/>
      <c r="BJ218" s="149"/>
      <c r="BK218" s="149"/>
      <c r="BL218" s="149"/>
      <c r="BM218" s="149"/>
      <c r="BN218" s="149"/>
      <c r="BO218" s="149"/>
      <c r="BP218" s="149">
        <v>13.913869722774821</v>
      </c>
      <c r="BQ218" s="149">
        <f t="shared" ca="1" si="15"/>
        <v>13.42489445742229</v>
      </c>
      <c r="BR218" s="149">
        <v>19.978910320050073</v>
      </c>
      <c r="BS218" s="149">
        <v>19.621165149008196</v>
      </c>
      <c r="BT218" s="149">
        <f t="shared" ca="1" si="14"/>
        <v>769.84907939845675</v>
      </c>
      <c r="BU218" s="153">
        <v>27750.658233112761</v>
      </c>
      <c r="BV218" s="149">
        <f t="shared" ca="1" si="16"/>
        <v>2.9668647748454187E-2</v>
      </c>
    </row>
    <row r="219" spans="1:75" x14ac:dyDescent="0.25">
      <c r="A219" s="149">
        <f t="shared" si="17"/>
        <v>218</v>
      </c>
      <c r="B219" s="150" t="s">
        <v>147</v>
      </c>
      <c r="C219" s="151">
        <v>0.45833333333333331</v>
      </c>
      <c r="D219" s="149" t="s">
        <v>142</v>
      </c>
      <c r="E219" s="149" t="s">
        <v>143</v>
      </c>
      <c r="F219" s="149" t="s">
        <v>144</v>
      </c>
      <c r="G219" s="149">
        <v>123456</v>
      </c>
      <c r="H219" s="149">
        <v>4</v>
      </c>
      <c r="I219" s="149">
        <v>29250</v>
      </c>
      <c r="J219" s="149" t="s">
        <v>137</v>
      </c>
      <c r="K219" s="149" t="s">
        <v>83</v>
      </c>
      <c r="L219" s="149" t="s">
        <v>81</v>
      </c>
      <c r="M219" s="149">
        <v>3</v>
      </c>
      <c r="N219" s="149">
        <v>2000</v>
      </c>
      <c r="O219" s="149">
        <v>2.1</v>
      </c>
      <c r="P219" s="149" t="s">
        <v>75</v>
      </c>
      <c r="Q219" s="149">
        <v>2.16E-5</v>
      </c>
      <c r="R219" s="149">
        <v>1965000</v>
      </c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  <c r="BI219" s="149"/>
      <c r="BJ219" s="149"/>
      <c r="BK219" s="149"/>
      <c r="BL219" s="149"/>
      <c r="BM219" s="149"/>
      <c r="BN219" s="149"/>
      <c r="BO219" s="149"/>
      <c r="BP219" s="149">
        <v>13.96795611126405</v>
      </c>
      <c r="BQ219" s="149">
        <f t="shared" ca="1" si="15"/>
        <v>13.561092122252449</v>
      </c>
      <c r="BR219" s="149">
        <v>19.303547801748167</v>
      </c>
      <c r="BS219" s="149">
        <v>19.002167355948274</v>
      </c>
      <c r="BT219" s="149">
        <f t="shared" ca="1" si="14"/>
        <v>674.6784169497563</v>
      </c>
      <c r="BU219" s="153">
        <v>29180.465402461024</v>
      </c>
      <c r="BV219" s="149">
        <f t="shared" ca="1" si="16"/>
        <v>8.5404905465638181E-3</v>
      </c>
    </row>
    <row r="220" spans="1:75" x14ac:dyDescent="0.25">
      <c r="A220" s="149">
        <f t="shared" si="17"/>
        <v>219</v>
      </c>
      <c r="B220" s="150" t="s">
        <v>147</v>
      </c>
      <c r="C220" s="151">
        <v>0.45833333333333331</v>
      </c>
      <c r="D220" s="149" t="s">
        <v>142</v>
      </c>
      <c r="E220" s="149" t="s">
        <v>143</v>
      </c>
      <c r="F220" s="149" t="s">
        <v>144</v>
      </c>
      <c r="G220" s="149">
        <v>123821</v>
      </c>
      <c r="H220" s="149">
        <v>4</v>
      </c>
      <c r="I220" s="149">
        <v>28045</v>
      </c>
      <c r="J220" s="149" t="s">
        <v>145</v>
      </c>
      <c r="K220" s="149" t="s">
        <v>83</v>
      </c>
      <c r="L220" s="149" t="s">
        <v>81</v>
      </c>
      <c r="M220" s="149">
        <v>3</v>
      </c>
      <c r="N220" s="149">
        <v>2000</v>
      </c>
      <c r="O220" s="149">
        <v>2.1</v>
      </c>
      <c r="P220" s="149" t="s">
        <v>75</v>
      </c>
      <c r="Q220" s="149">
        <v>2.16E-5</v>
      </c>
      <c r="R220" s="149">
        <v>1965000</v>
      </c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  <c r="BI220" s="149"/>
      <c r="BJ220" s="149"/>
      <c r="BK220" s="149"/>
      <c r="BL220" s="149"/>
      <c r="BM220" s="149"/>
      <c r="BN220" s="149"/>
      <c r="BO220" s="149"/>
      <c r="BP220" s="149">
        <v>13.095289696756094</v>
      </c>
      <c r="BQ220" s="149">
        <f t="shared" ca="1" si="15"/>
        <v>12.968778847060364</v>
      </c>
      <c r="BR220" s="149">
        <v>18.100875575490843</v>
      </c>
      <c r="BS220" s="149">
        <v>17.641696858188507</v>
      </c>
      <c r="BT220" s="149">
        <f t="shared" ca="1" si="14"/>
        <v>748.41926026297472</v>
      </c>
      <c r="BU220" s="153">
        <v>28376.569855410358</v>
      </c>
      <c r="BV220" s="149">
        <f t="shared" ca="1" si="16"/>
        <v>6.8386150591286136E-3</v>
      </c>
    </row>
    <row r="221" spans="1:75" x14ac:dyDescent="0.25">
      <c r="A221" s="149">
        <f t="shared" si="17"/>
        <v>220</v>
      </c>
      <c r="B221" s="150" t="s">
        <v>147</v>
      </c>
      <c r="C221" s="151">
        <v>0.45833333333333331</v>
      </c>
      <c r="D221" s="149" t="s">
        <v>142</v>
      </c>
      <c r="E221" s="149" t="s">
        <v>143</v>
      </c>
      <c r="F221" s="149" t="s">
        <v>144</v>
      </c>
      <c r="G221" s="149">
        <v>123821</v>
      </c>
      <c r="H221" s="149">
        <v>4</v>
      </c>
      <c r="I221" s="149">
        <v>28045</v>
      </c>
      <c r="J221" s="149" t="s">
        <v>145</v>
      </c>
      <c r="K221" s="149" t="s">
        <v>83</v>
      </c>
      <c r="L221" s="149" t="s">
        <v>81</v>
      </c>
      <c r="M221" s="149">
        <v>3</v>
      </c>
      <c r="N221" s="149">
        <v>2000</v>
      </c>
      <c r="O221" s="149">
        <v>2.1</v>
      </c>
      <c r="P221" s="149" t="s">
        <v>75</v>
      </c>
      <c r="Q221" s="149">
        <v>2.16E-5</v>
      </c>
      <c r="R221" s="149">
        <v>1965000</v>
      </c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  <c r="BI221" s="149"/>
      <c r="BJ221" s="149"/>
      <c r="BK221" s="149"/>
      <c r="BL221" s="149"/>
      <c r="BM221" s="149"/>
      <c r="BN221" s="149"/>
      <c r="BO221" s="149"/>
      <c r="BP221" s="149">
        <v>14.492145673405293</v>
      </c>
      <c r="BQ221" s="149">
        <f t="shared" ca="1" si="15"/>
        <v>14.300996178066116</v>
      </c>
      <c r="BR221" s="149">
        <v>22.748980576040886</v>
      </c>
      <c r="BS221" s="149">
        <v>22.710526048083587</v>
      </c>
      <c r="BT221" s="149">
        <f t="shared" ca="1" si="14"/>
        <v>729.83008634485464</v>
      </c>
      <c r="BU221" s="153">
        <v>27268.547392266752</v>
      </c>
      <c r="BV221" s="149">
        <f t="shared" ca="1" si="16"/>
        <v>2.7815933974822668E-2</v>
      </c>
    </row>
    <row r="222" spans="1:75" x14ac:dyDescent="0.25">
      <c r="A222" s="149">
        <f t="shared" si="17"/>
        <v>221</v>
      </c>
      <c r="B222" s="150" t="s">
        <v>147</v>
      </c>
      <c r="C222" s="151">
        <v>0.45833333333333331</v>
      </c>
      <c r="D222" s="149" t="s">
        <v>142</v>
      </c>
      <c r="E222" s="149" t="s">
        <v>143</v>
      </c>
      <c r="F222" s="149" t="s">
        <v>144</v>
      </c>
      <c r="G222" s="149">
        <v>123456</v>
      </c>
      <c r="H222" s="149">
        <v>4</v>
      </c>
      <c r="I222" s="149">
        <v>29250</v>
      </c>
      <c r="J222" s="149" t="s">
        <v>137</v>
      </c>
      <c r="K222" s="149" t="s">
        <v>83</v>
      </c>
      <c r="L222" s="149" t="s">
        <v>81</v>
      </c>
      <c r="M222" s="149">
        <v>3</v>
      </c>
      <c r="N222" s="149">
        <v>2000</v>
      </c>
      <c r="O222" s="149">
        <v>2.1</v>
      </c>
      <c r="P222" s="149" t="s">
        <v>75</v>
      </c>
      <c r="Q222" s="149">
        <v>2.16E-5</v>
      </c>
      <c r="R222" s="149">
        <v>1965000</v>
      </c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>
        <v>13.517702891619132</v>
      </c>
      <c r="BQ222" s="149">
        <f t="shared" ca="1" si="15"/>
        <v>13.096309823694279</v>
      </c>
      <c r="BR222" s="149">
        <v>19.644630689966704</v>
      </c>
      <c r="BS222" s="149">
        <v>19.350020800742968</v>
      </c>
      <c r="BT222" s="149">
        <f t="shared" ca="1" si="14"/>
        <v>635.89890937227142</v>
      </c>
      <c r="BU222" s="153">
        <v>26988.631474936243</v>
      </c>
      <c r="BV222" s="149">
        <f t="shared" ca="1" si="16"/>
        <v>2.9931417241776469E-2</v>
      </c>
    </row>
    <row r="223" spans="1:75" x14ac:dyDescent="0.25">
      <c r="A223" s="149">
        <f t="shared" si="17"/>
        <v>222</v>
      </c>
      <c r="B223" s="150" t="s">
        <v>147</v>
      </c>
      <c r="C223" s="151">
        <v>0.45833333333333331</v>
      </c>
      <c r="D223" s="149" t="s">
        <v>142</v>
      </c>
      <c r="E223" s="149" t="s">
        <v>143</v>
      </c>
      <c r="F223" s="149" t="s">
        <v>144</v>
      </c>
      <c r="G223" s="149">
        <v>123456</v>
      </c>
      <c r="H223" s="149">
        <v>4</v>
      </c>
      <c r="I223" s="149">
        <v>29250</v>
      </c>
      <c r="J223" s="149" t="s">
        <v>137</v>
      </c>
      <c r="K223" s="149" t="s">
        <v>83</v>
      </c>
      <c r="L223" s="149" t="s">
        <v>81</v>
      </c>
      <c r="M223" s="149">
        <v>3</v>
      </c>
      <c r="N223" s="149">
        <v>2000</v>
      </c>
      <c r="O223" s="149">
        <v>2.1</v>
      </c>
      <c r="P223" s="149" t="s">
        <v>75</v>
      </c>
      <c r="Q223" s="149">
        <v>2.16E-5</v>
      </c>
      <c r="R223" s="149">
        <v>1965000</v>
      </c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  <c r="BI223" s="149"/>
      <c r="BJ223" s="149"/>
      <c r="BK223" s="149"/>
      <c r="BL223" s="149"/>
      <c r="BM223" s="149"/>
      <c r="BN223" s="149"/>
      <c r="BO223" s="149"/>
      <c r="BP223" s="149">
        <v>12.896356381240151</v>
      </c>
      <c r="BQ223" s="149">
        <f t="shared" ca="1" si="15"/>
        <v>12.595316155556805</v>
      </c>
      <c r="BR223" s="149">
        <v>19.668405071721942</v>
      </c>
      <c r="BS223" s="149">
        <v>19.418214544040367</v>
      </c>
      <c r="BT223" s="149">
        <f t="shared" ca="1" si="14"/>
        <v>782.70418852422654</v>
      </c>
      <c r="BU223" s="153">
        <v>28488.845148741384</v>
      </c>
      <c r="BV223" s="149">
        <f t="shared" ca="1" si="16"/>
        <v>2.888374169767562E-2</v>
      </c>
    </row>
    <row r="224" spans="1:75" ht="16.5" x14ac:dyDescent="0.25">
      <c r="A224" s="149">
        <f t="shared" si="17"/>
        <v>223</v>
      </c>
      <c r="B224" s="150" t="s">
        <v>147</v>
      </c>
      <c r="C224" s="151">
        <v>0.45833333333333331</v>
      </c>
      <c r="D224" s="149" t="s">
        <v>142</v>
      </c>
      <c r="E224" s="149" t="s">
        <v>143</v>
      </c>
      <c r="F224" s="149" t="s">
        <v>144</v>
      </c>
      <c r="G224" s="149">
        <v>123821</v>
      </c>
      <c r="H224" s="149">
        <v>4</v>
      </c>
      <c r="I224" s="149">
        <v>28045</v>
      </c>
      <c r="J224" s="149" t="s">
        <v>145</v>
      </c>
      <c r="K224" s="149" t="s">
        <v>83</v>
      </c>
      <c r="L224" s="149" t="s">
        <v>81</v>
      </c>
      <c r="M224" s="149">
        <v>3</v>
      </c>
      <c r="N224" s="149">
        <v>2000</v>
      </c>
      <c r="O224" s="149">
        <v>2.1</v>
      </c>
      <c r="P224" s="149" t="s">
        <v>75</v>
      </c>
      <c r="Q224" s="149">
        <v>2.16E-5</v>
      </c>
      <c r="R224" s="149">
        <v>1965000</v>
      </c>
      <c r="S224" s="149"/>
      <c r="T224" s="149"/>
      <c r="U224" s="157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  <c r="BI224" s="149"/>
      <c r="BJ224" s="149"/>
      <c r="BK224" s="149"/>
      <c r="BL224" s="149"/>
      <c r="BM224" s="149"/>
      <c r="BN224" s="149"/>
      <c r="BO224" s="149"/>
      <c r="BP224" s="149">
        <v>14.547997518261482</v>
      </c>
      <c r="BQ224" s="149">
        <f t="shared" ca="1" si="15"/>
        <v>14.540458044515482</v>
      </c>
      <c r="BR224" s="149">
        <v>19.157921603325693</v>
      </c>
      <c r="BS224" s="149">
        <v>18.795470954428925</v>
      </c>
      <c r="BT224" s="149">
        <f t="shared" ca="1" si="14"/>
        <v>666.95613731750882</v>
      </c>
      <c r="BU224" s="153">
        <v>28907.186312428061</v>
      </c>
      <c r="BV224" s="149">
        <f t="shared" ca="1" si="16"/>
        <v>1.5450652805509037E-2</v>
      </c>
    </row>
    <row r="225" spans="1:74" x14ac:dyDescent="0.25">
      <c r="A225" s="149">
        <f t="shared" si="17"/>
        <v>224</v>
      </c>
      <c r="B225" s="150" t="s">
        <v>147</v>
      </c>
      <c r="C225" s="151">
        <v>0.45833333333333331</v>
      </c>
      <c r="D225" s="149" t="s">
        <v>142</v>
      </c>
      <c r="E225" s="149" t="s">
        <v>143</v>
      </c>
      <c r="F225" s="149" t="s">
        <v>144</v>
      </c>
      <c r="G225" s="149">
        <v>123821</v>
      </c>
      <c r="H225" s="149">
        <v>4</v>
      </c>
      <c r="I225" s="149">
        <v>28045</v>
      </c>
      <c r="J225" s="149" t="s">
        <v>145</v>
      </c>
      <c r="K225" s="149" t="s">
        <v>83</v>
      </c>
      <c r="L225" s="149" t="s">
        <v>81</v>
      </c>
      <c r="M225" s="149">
        <v>3</v>
      </c>
      <c r="N225" s="149">
        <v>2000</v>
      </c>
      <c r="O225" s="149">
        <v>2.1</v>
      </c>
      <c r="P225" s="149" t="s">
        <v>75</v>
      </c>
      <c r="Q225" s="149">
        <v>2.16E-5</v>
      </c>
      <c r="R225" s="149">
        <v>1965000</v>
      </c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  <c r="BI225" s="149"/>
      <c r="BJ225" s="149"/>
      <c r="BK225" s="149"/>
      <c r="BL225" s="149"/>
      <c r="BM225" s="149"/>
      <c r="BN225" s="149"/>
      <c r="BO225" s="149"/>
      <c r="BP225" s="149">
        <v>12.510775068695144</v>
      </c>
      <c r="BQ225" s="149">
        <f t="shared" ca="1" si="15"/>
        <v>12.244261377053851</v>
      </c>
      <c r="BR225" s="149">
        <v>18.449306991767518</v>
      </c>
      <c r="BS225" s="149">
        <v>18.383018969221379</v>
      </c>
      <c r="BT225" s="149">
        <f t="shared" ca="1" si="14"/>
        <v>681.16609142595132</v>
      </c>
      <c r="BU225" s="153">
        <v>28646.01151755964</v>
      </c>
      <c r="BV225" s="149">
        <f t="shared" ca="1" si="16"/>
        <v>7.9998975950133933E-3</v>
      </c>
    </row>
    <row r="226" spans="1:74" x14ac:dyDescent="0.25">
      <c r="A226" s="149">
        <f t="shared" si="17"/>
        <v>225</v>
      </c>
      <c r="B226" s="150" t="s">
        <v>147</v>
      </c>
      <c r="C226" s="151">
        <v>0.45833333333333331</v>
      </c>
      <c r="D226" s="149" t="s">
        <v>142</v>
      </c>
      <c r="E226" s="149" t="s">
        <v>143</v>
      </c>
      <c r="F226" s="149" t="s">
        <v>144</v>
      </c>
      <c r="G226" s="149">
        <v>123456</v>
      </c>
      <c r="H226" s="149">
        <v>4</v>
      </c>
      <c r="I226" s="149">
        <v>29250</v>
      </c>
      <c r="J226" s="149" t="s">
        <v>137</v>
      </c>
      <c r="K226" s="149" t="s">
        <v>83</v>
      </c>
      <c r="L226" s="149" t="s">
        <v>81</v>
      </c>
      <c r="M226" s="149">
        <v>3</v>
      </c>
      <c r="N226" s="149">
        <v>2000</v>
      </c>
      <c r="O226" s="149">
        <v>2.1</v>
      </c>
      <c r="P226" s="149" t="s">
        <v>75</v>
      </c>
      <c r="Q226" s="149">
        <v>2.16E-5</v>
      </c>
      <c r="R226" s="149">
        <v>1965000</v>
      </c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  <c r="BI226" s="149"/>
      <c r="BJ226" s="149"/>
      <c r="BK226" s="149"/>
      <c r="BL226" s="149"/>
      <c r="BM226" s="149"/>
      <c r="BN226" s="149"/>
      <c r="BO226" s="149"/>
      <c r="BP226" s="149">
        <v>14.651717631062377</v>
      </c>
      <c r="BQ226" s="149">
        <f t="shared" ca="1" si="15"/>
        <v>14.296245104121265</v>
      </c>
      <c r="BR226" s="149">
        <v>20.759948054736366</v>
      </c>
      <c r="BS226" s="149">
        <v>20.659556984478741</v>
      </c>
      <c r="BT226" s="149">
        <f t="shared" ca="1" si="14"/>
        <v>606.13030423206919</v>
      </c>
      <c r="BU226" s="153">
        <v>28756.297807987958</v>
      </c>
      <c r="BV226" s="149">
        <f t="shared" ca="1" si="16"/>
        <v>2.8591059794376608E-2</v>
      </c>
    </row>
    <row r="227" spans="1:74" x14ac:dyDescent="0.25">
      <c r="A227" s="149">
        <f t="shared" si="17"/>
        <v>226</v>
      </c>
      <c r="B227" s="150" t="s">
        <v>147</v>
      </c>
      <c r="C227" s="151">
        <v>0.45833333333333331</v>
      </c>
      <c r="D227" s="149" t="s">
        <v>142</v>
      </c>
      <c r="E227" s="149" t="s">
        <v>143</v>
      </c>
      <c r="F227" s="149" t="s">
        <v>144</v>
      </c>
      <c r="G227" s="149">
        <v>123456</v>
      </c>
      <c r="H227" s="149">
        <v>4</v>
      </c>
      <c r="I227" s="149">
        <v>29250</v>
      </c>
      <c r="J227" s="149" t="s">
        <v>137</v>
      </c>
      <c r="K227" s="149" t="s">
        <v>83</v>
      </c>
      <c r="L227" s="149" t="s">
        <v>81</v>
      </c>
      <c r="M227" s="149">
        <v>3</v>
      </c>
      <c r="N227" s="149">
        <v>2000</v>
      </c>
      <c r="O227" s="149">
        <v>2.1</v>
      </c>
      <c r="P227" s="149" t="s">
        <v>75</v>
      </c>
      <c r="Q227" s="149">
        <v>2.16E-5</v>
      </c>
      <c r="R227" s="149">
        <v>1965000</v>
      </c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  <c r="BK227" s="149"/>
      <c r="BL227" s="149"/>
      <c r="BM227" s="149"/>
      <c r="BN227" s="149"/>
      <c r="BO227" s="149"/>
      <c r="BP227" s="149">
        <v>13.526958655240842</v>
      </c>
      <c r="BQ227" s="149">
        <f t="shared" ca="1" si="15"/>
        <v>13.350005593692503</v>
      </c>
      <c r="BR227" s="149">
        <v>24.635457836860532</v>
      </c>
      <c r="BS227" s="149">
        <v>24.371934979072783</v>
      </c>
      <c r="BT227" s="149">
        <f t="shared" ca="1" si="14"/>
        <v>644.05945415299766</v>
      </c>
      <c r="BU227" s="153">
        <v>27643.727567651335</v>
      </c>
      <c r="BV227" s="149">
        <f t="shared" ca="1" si="16"/>
        <v>1.2756284962450763E-2</v>
      </c>
    </row>
    <row r="228" spans="1:74" x14ac:dyDescent="0.25">
      <c r="A228" s="149">
        <f t="shared" si="17"/>
        <v>227</v>
      </c>
      <c r="B228" s="150" t="s">
        <v>147</v>
      </c>
      <c r="C228" s="151">
        <v>0.45833333333333331</v>
      </c>
      <c r="D228" s="149" t="s">
        <v>142</v>
      </c>
      <c r="E228" s="149" t="s">
        <v>143</v>
      </c>
      <c r="F228" s="149" t="s">
        <v>144</v>
      </c>
      <c r="G228" s="149">
        <v>123821</v>
      </c>
      <c r="H228" s="149">
        <v>4</v>
      </c>
      <c r="I228" s="149">
        <v>28045</v>
      </c>
      <c r="J228" s="149" t="s">
        <v>145</v>
      </c>
      <c r="K228" s="149" t="s">
        <v>83</v>
      </c>
      <c r="L228" s="149" t="s">
        <v>81</v>
      </c>
      <c r="M228" s="149">
        <v>3</v>
      </c>
      <c r="N228" s="149">
        <v>2000</v>
      </c>
      <c r="O228" s="149">
        <v>2.1</v>
      </c>
      <c r="P228" s="149" t="s">
        <v>75</v>
      </c>
      <c r="Q228" s="149">
        <v>2.16E-5</v>
      </c>
      <c r="R228" s="149">
        <v>1965000</v>
      </c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  <c r="BI228" s="149"/>
      <c r="BJ228" s="149"/>
      <c r="BK228" s="149"/>
      <c r="BL228" s="149"/>
      <c r="BM228" s="149"/>
      <c r="BN228" s="149"/>
      <c r="BO228" s="149"/>
      <c r="BP228" s="149">
        <v>13.383012168613481</v>
      </c>
      <c r="BQ228" s="149">
        <f t="shared" ca="1" si="15"/>
        <v>13.042734200355861</v>
      </c>
      <c r="BR228" s="149">
        <v>20.005834027951565</v>
      </c>
      <c r="BS228" s="149">
        <v>19.625846120411854</v>
      </c>
      <c r="BT228" s="149">
        <f t="shared" ca="1" si="14"/>
        <v>614.17913917853275</v>
      </c>
      <c r="BU228" s="153">
        <v>29082.620416988</v>
      </c>
      <c r="BV228" s="149">
        <f t="shared" ca="1" si="16"/>
        <v>1.3959099823112419E-2</v>
      </c>
    </row>
    <row r="229" spans="1:74" x14ac:dyDescent="0.25">
      <c r="A229" s="149">
        <f t="shared" si="17"/>
        <v>228</v>
      </c>
      <c r="B229" s="150" t="s">
        <v>147</v>
      </c>
      <c r="C229" s="151">
        <v>0.45833333333333331</v>
      </c>
      <c r="D229" s="149" t="s">
        <v>142</v>
      </c>
      <c r="E229" s="149" t="s">
        <v>143</v>
      </c>
      <c r="F229" s="149" t="s">
        <v>144</v>
      </c>
      <c r="G229" s="149">
        <v>123821</v>
      </c>
      <c r="H229" s="149">
        <v>4</v>
      </c>
      <c r="I229" s="149">
        <v>28045</v>
      </c>
      <c r="J229" s="149" t="s">
        <v>145</v>
      </c>
      <c r="K229" s="149" t="s">
        <v>83</v>
      </c>
      <c r="L229" s="149" t="s">
        <v>81</v>
      </c>
      <c r="M229" s="149">
        <v>3</v>
      </c>
      <c r="N229" s="149">
        <v>2000</v>
      </c>
      <c r="O229" s="149">
        <v>2.1</v>
      </c>
      <c r="P229" s="149" t="s">
        <v>75</v>
      </c>
      <c r="Q229" s="149">
        <v>2.16E-5</v>
      </c>
      <c r="R229" s="149">
        <v>1965000</v>
      </c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  <c r="BI229" s="149"/>
      <c r="BJ229" s="149"/>
      <c r="BK229" s="149"/>
      <c r="BL229" s="149"/>
      <c r="BM229" s="149"/>
      <c r="BN229" s="149"/>
      <c r="BO229" s="149"/>
      <c r="BP229" s="149">
        <v>14.3333300191962</v>
      </c>
      <c r="BQ229" s="149">
        <f t="shared" ca="1" si="15"/>
        <v>14.280856894424284</v>
      </c>
      <c r="BR229" s="149">
        <v>19.016955085031608</v>
      </c>
      <c r="BS229" s="149">
        <v>18.673183406476337</v>
      </c>
      <c r="BT229" s="149">
        <f t="shared" ca="1" si="14"/>
        <v>693.5976300653781</v>
      </c>
      <c r="BU229" s="153">
        <v>29937.77681113956</v>
      </c>
      <c r="BV229" s="149">
        <f t="shared" ca="1" si="16"/>
        <v>1.8370360151897209E-2</v>
      </c>
    </row>
    <row r="230" spans="1:74" x14ac:dyDescent="0.25">
      <c r="A230" s="149">
        <f t="shared" si="17"/>
        <v>229</v>
      </c>
      <c r="B230" s="150" t="s">
        <v>147</v>
      </c>
      <c r="C230" s="151">
        <v>0.45833333333333331</v>
      </c>
      <c r="D230" s="149" t="s">
        <v>142</v>
      </c>
      <c r="E230" s="149" t="s">
        <v>143</v>
      </c>
      <c r="F230" s="149" t="s">
        <v>144</v>
      </c>
      <c r="G230" s="149">
        <v>123456</v>
      </c>
      <c r="H230" s="149">
        <v>4</v>
      </c>
      <c r="I230" s="149">
        <v>29250</v>
      </c>
      <c r="J230" s="149" t="s">
        <v>137</v>
      </c>
      <c r="K230" s="149" t="s">
        <v>83</v>
      </c>
      <c r="L230" s="149" t="s">
        <v>81</v>
      </c>
      <c r="M230" s="149">
        <v>3</v>
      </c>
      <c r="N230" s="149">
        <v>2000</v>
      </c>
      <c r="O230" s="149">
        <v>2.1</v>
      </c>
      <c r="P230" s="149" t="s">
        <v>75</v>
      </c>
      <c r="Q230" s="149">
        <v>2.16E-5</v>
      </c>
      <c r="R230" s="149">
        <v>1965000</v>
      </c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  <c r="BI230" s="149"/>
      <c r="BJ230" s="149"/>
      <c r="BK230" s="149"/>
      <c r="BL230" s="149"/>
      <c r="BM230" s="149"/>
      <c r="BN230" s="149"/>
      <c r="BO230" s="149"/>
      <c r="BP230" s="149">
        <v>12.325419965034799</v>
      </c>
      <c r="BQ230" s="149">
        <f t="shared" ca="1" si="15"/>
        <v>12.250629563641855</v>
      </c>
      <c r="BR230" s="149">
        <v>19.925512867206624</v>
      </c>
      <c r="BS230" s="149">
        <v>19.64283325949549</v>
      </c>
      <c r="BT230" s="149">
        <f t="shared" ca="1" si="14"/>
        <v>738.38684581683412</v>
      </c>
      <c r="BU230" s="153">
        <v>27073.187872622679</v>
      </c>
      <c r="BV230" s="149">
        <f t="shared" ca="1" si="16"/>
        <v>2.5930740075809838E-2</v>
      </c>
    </row>
    <row r="231" spans="1:74" x14ac:dyDescent="0.25">
      <c r="A231" s="149">
        <f t="shared" si="17"/>
        <v>230</v>
      </c>
      <c r="B231" s="150" t="s">
        <v>147</v>
      </c>
      <c r="C231" s="151">
        <v>0.45833333333333331</v>
      </c>
      <c r="D231" s="149" t="s">
        <v>142</v>
      </c>
      <c r="E231" s="149" t="s">
        <v>143</v>
      </c>
      <c r="F231" s="149" t="s">
        <v>144</v>
      </c>
      <c r="G231" s="149">
        <v>123456</v>
      </c>
      <c r="H231" s="149">
        <v>4</v>
      </c>
      <c r="I231" s="149">
        <v>29250</v>
      </c>
      <c r="J231" s="149" t="s">
        <v>137</v>
      </c>
      <c r="K231" s="149" t="s">
        <v>83</v>
      </c>
      <c r="L231" s="149" t="s">
        <v>81</v>
      </c>
      <c r="M231" s="149">
        <v>3</v>
      </c>
      <c r="N231" s="149">
        <v>2000</v>
      </c>
      <c r="O231" s="149">
        <v>2.1</v>
      </c>
      <c r="P231" s="149" t="s">
        <v>75</v>
      </c>
      <c r="Q231" s="149">
        <v>2.16E-5</v>
      </c>
      <c r="R231" s="149">
        <v>1965000</v>
      </c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  <c r="BI231" s="149"/>
      <c r="BJ231" s="149"/>
      <c r="BK231" s="149"/>
      <c r="BL231" s="149"/>
      <c r="BM231" s="149"/>
      <c r="BN231" s="149"/>
      <c r="BO231" s="149"/>
      <c r="BP231" s="149">
        <v>12.452034702948788</v>
      </c>
      <c r="BQ231" s="149">
        <f t="shared" ca="1" si="15"/>
        <v>12.173556486054594</v>
      </c>
      <c r="BR231" s="149">
        <v>18.256095476393668</v>
      </c>
      <c r="BS231" s="149">
        <v>17.876473331832109</v>
      </c>
      <c r="BT231" s="149">
        <f t="shared" ca="1" si="14"/>
        <v>630.56965459015862</v>
      </c>
      <c r="BU231" s="153">
        <v>27981.732484798402</v>
      </c>
      <c r="BV231" s="149">
        <f t="shared" ca="1" si="16"/>
        <v>4.2201438796467226E-3</v>
      </c>
    </row>
    <row r="232" spans="1:74" x14ac:dyDescent="0.25">
      <c r="A232" s="149">
        <f t="shared" si="17"/>
        <v>231</v>
      </c>
      <c r="B232" s="150" t="s">
        <v>147</v>
      </c>
      <c r="C232" s="151">
        <v>0.45833333333333331</v>
      </c>
      <c r="D232" s="149" t="s">
        <v>142</v>
      </c>
      <c r="E232" s="149" t="s">
        <v>143</v>
      </c>
      <c r="F232" s="149" t="s">
        <v>144</v>
      </c>
      <c r="G232" s="149">
        <v>123821</v>
      </c>
      <c r="H232" s="149">
        <v>4</v>
      </c>
      <c r="I232" s="149">
        <v>28045</v>
      </c>
      <c r="J232" s="149" t="s">
        <v>145</v>
      </c>
      <c r="K232" s="149" t="s">
        <v>83</v>
      </c>
      <c r="L232" s="149" t="s">
        <v>81</v>
      </c>
      <c r="M232" s="149">
        <v>3</v>
      </c>
      <c r="N232" s="149">
        <v>2000</v>
      </c>
      <c r="O232" s="149">
        <v>2.1</v>
      </c>
      <c r="P232" s="149" t="s">
        <v>75</v>
      </c>
      <c r="Q232" s="149">
        <v>2.16E-5</v>
      </c>
      <c r="R232" s="149">
        <v>1965000</v>
      </c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  <c r="BK232" s="149"/>
      <c r="BL232" s="149"/>
      <c r="BM232" s="149"/>
      <c r="BN232" s="149"/>
      <c r="BO232" s="149"/>
      <c r="BP232" s="149">
        <v>13.254246316564592</v>
      </c>
      <c r="BQ232" s="149">
        <f t="shared" ca="1" si="15"/>
        <v>12.992631992548452</v>
      </c>
      <c r="BR232" s="149">
        <v>19.101716934515075</v>
      </c>
      <c r="BS232" s="149">
        <v>18.79665165698583</v>
      </c>
      <c r="BT232" s="149">
        <f t="shared" ca="1" si="14"/>
        <v>693.14740170941843</v>
      </c>
      <c r="BU232" s="153">
        <v>27755.956530474716</v>
      </c>
      <c r="BV232" s="149">
        <f t="shared" ca="1" si="16"/>
        <v>8.6507960138764058E-3</v>
      </c>
    </row>
    <row r="233" spans="1:74" x14ac:dyDescent="0.25">
      <c r="A233" s="149">
        <f t="shared" si="17"/>
        <v>232</v>
      </c>
      <c r="B233" s="150" t="s">
        <v>147</v>
      </c>
      <c r="C233" s="151">
        <v>0.45833333333333331</v>
      </c>
      <c r="D233" s="149" t="s">
        <v>142</v>
      </c>
      <c r="E233" s="149" t="s">
        <v>143</v>
      </c>
      <c r="F233" s="149" t="s">
        <v>144</v>
      </c>
      <c r="G233" s="149">
        <v>123821</v>
      </c>
      <c r="H233" s="149">
        <v>4</v>
      </c>
      <c r="I233" s="149">
        <v>28045</v>
      </c>
      <c r="J233" s="149" t="s">
        <v>145</v>
      </c>
      <c r="K233" s="149" t="s">
        <v>83</v>
      </c>
      <c r="L233" s="149" t="s">
        <v>81</v>
      </c>
      <c r="M233" s="149">
        <v>3</v>
      </c>
      <c r="N233" s="149">
        <v>2000</v>
      </c>
      <c r="O233" s="149">
        <v>2.1</v>
      </c>
      <c r="P233" s="149" t="s">
        <v>75</v>
      </c>
      <c r="Q233" s="149">
        <v>2.16E-5</v>
      </c>
      <c r="R233" s="149">
        <v>1965000</v>
      </c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  <c r="BH233" s="149"/>
      <c r="BI233" s="149"/>
      <c r="BJ233" s="149"/>
      <c r="BK233" s="149"/>
      <c r="BL233" s="149"/>
      <c r="BM233" s="149"/>
      <c r="BN233" s="149"/>
      <c r="BO233" s="149"/>
      <c r="BP233" s="149">
        <v>14.634864817826038</v>
      </c>
      <c r="BQ233" s="149">
        <f t="shared" ca="1" si="15"/>
        <v>14.356487463350351</v>
      </c>
      <c r="BR233" s="149">
        <v>19.690399404301182</v>
      </c>
      <c r="BS233" s="149">
        <v>19.240323601198941</v>
      </c>
      <c r="BT233" s="149">
        <f t="shared" ca="1" si="14"/>
        <v>742.91191384952174</v>
      </c>
      <c r="BU233" s="153">
        <v>28292.907407135292</v>
      </c>
      <c r="BV233" s="149">
        <f t="shared" ca="1" si="16"/>
        <v>1.9561111971262007E-2</v>
      </c>
    </row>
    <row r="234" spans="1:74" x14ac:dyDescent="0.25">
      <c r="A234" s="149">
        <f t="shared" si="17"/>
        <v>233</v>
      </c>
      <c r="B234" s="150" t="s">
        <v>147</v>
      </c>
      <c r="C234" s="151">
        <v>0.45833333333333331</v>
      </c>
      <c r="D234" s="149" t="s">
        <v>142</v>
      </c>
      <c r="E234" s="149" t="s">
        <v>143</v>
      </c>
      <c r="F234" s="149" t="s">
        <v>144</v>
      </c>
      <c r="G234" s="149">
        <v>123456</v>
      </c>
      <c r="H234" s="149">
        <v>4</v>
      </c>
      <c r="I234" s="149">
        <v>29250</v>
      </c>
      <c r="J234" s="149" t="s">
        <v>137</v>
      </c>
      <c r="K234" s="149" t="s">
        <v>83</v>
      </c>
      <c r="L234" s="149" t="s">
        <v>81</v>
      </c>
      <c r="M234" s="149">
        <v>3</v>
      </c>
      <c r="N234" s="149">
        <v>2000</v>
      </c>
      <c r="O234" s="149">
        <v>2.1</v>
      </c>
      <c r="P234" s="149" t="s">
        <v>75</v>
      </c>
      <c r="Q234" s="149">
        <v>2.16E-5</v>
      </c>
      <c r="R234" s="149">
        <v>1965000</v>
      </c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  <c r="BI234" s="149"/>
      <c r="BJ234" s="149"/>
      <c r="BK234" s="149"/>
      <c r="BL234" s="149"/>
      <c r="BM234" s="149"/>
      <c r="BN234" s="149"/>
      <c r="BO234" s="149"/>
      <c r="BP234" s="149">
        <v>12.654872280471487</v>
      </c>
      <c r="BQ234" s="149">
        <f t="shared" ca="1" si="15"/>
        <v>12.51184259309866</v>
      </c>
      <c r="BR234" s="149">
        <v>21.975616123184533</v>
      </c>
      <c r="BS234" s="149">
        <v>21.865718415003016</v>
      </c>
      <c r="BT234" s="149">
        <f t="shared" ca="1" si="14"/>
        <v>713.72858375577539</v>
      </c>
      <c r="BU234" s="153">
        <v>28742.7887003631</v>
      </c>
      <c r="BV234" s="149">
        <f t="shared" ca="1" si="16"/>
        <v>9.4567979832452242E-3</v>
      </c>
    </row>
    <row r="235" spans="1:74" x14ac:dyDescent="0.25">
      <c r="A235" s="149">
        <f t="shared" si="17"/>
        <v>234</v>
      </c>
      <c r="B235" s="150" t="s">
        <v>147</v>
      </c>
      <c r="C235" s="151">
        <v>0.45833333333333331</v>
      </c>
      <c r="D235" s="149" t="s">
        <v>142</v>
      </c>
      <c r="E235" s="149" t="s">
        <v>143</v>
      </c>
      <c r="F235" s="149" t="s">
        <v>144</v>
      </c>
      <c r="G235" s="149">
        <v>123456</v>
      </c>
      <c r="H235" s="149">
        <v>4</v>
      </c>
      <c r="I235" s="149">
        <v>29250</v>
      </c>
      <c r="J235" s="149" t="s">
        <v>137</v>
      </c>
      <c r="K235" s="149" t="s">
        <v>83</v>
      </c>
      <c r="L235" s="149" t="s">
        <v>81</v>
      </c>
      <c r="M235" s="149">
        <v>3</v>
      </c>
      <c r="N235" s="149">
        <v>2000</v>
      </c>
      <c r="O235" s="149">
        <v>2.1</v>
      </c>
      <c r="P235" s="149" t="s">
        <v>75</v>
      </c>
      <c r="Q235" s="149">
        <v>2.16E-5</v>
      </c>
      <c r="R235" s="149">
        <v>1965000</v>
      </c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  <c r="BI235" s="149"/>
      <c r="BJ235" s="149"/>
      <c r="BK235" s="149"/>
      <c r="BL235" s="149"/>
      <c r="BM235" s="149"/>
      <c r="BN235" s="149"/>
      <c r="BO235" s="149"/>
      <c r="BP235" s="149">
        <v>12.697637768985945</v>
      </c>
      <c r="BQ235" s="149">
        <f t="shared" ca="1" si="15"/>
        <v>12.217832852786321</v>
      </c>
      <c r="BR235" s="149">
        <v>21.370440279642963</v>
      </c>
      <c r="BS235" s="149">
        <v>21.301719760535931</v>
      </c>
      <c r="BT235" s="149">
        <f t="shared" ca="1" si="14"/>
        <v>676.95850124918161</v>
      </c>
      <c r="BU235" s="153">
        <v>29766.565570118022</v>
      </c>
      <c r="BV235" s="149">
        <f t="shared" ca="1" si="16"/>
        <v>2.6080710592256372E-2</v>
      </c>
    </row>
    <row r="236" spans="1:74" x14ac:dyDescent="0.25">
      <c r="A236" s="149">
        <f t="shared" si="17"/>
        <v>235</v>
      </c>
      <c r="B236" s="150" t="s">
        <v>147</v>
      </c>
      <c r="C236" s="151">
        <v>0.45833333333333331</v>
      </c>
      <c r="D236" s="149" t="s">
        <v>142</v>
      </c>
      <c r="E236" s="149" t="s">
        <v>143</v>
      </c>
      <c r="F236" s="149" t="s">
        <v>144</v>
      </c>
      <c r="G236" s="149">
        <v>123821</v>
      </c>
      <c r="H236" s="149">
        <v>4</v>
      </c>
      <c r="I236" s="149">
        <v>28045</v>
      </c>
      <c r="J236" s="149" t="s">
        <v>145</v>
      </c>
      <c r="K236" s="149" t="s">
        <v>83</v>
      </c>
      <c r="L236" s="149" t="s">
        <v>81</v>
      </c>
      <c r="M236" s="149">
        <v>3</v>
      </c>
      <c r="N236" s="149">
        <v>2000</v>
      </c>
      <c r="O236" s="149">
        <v>2.1</v>
      </c>
      <c r="P236" s="149" t="s">
        <v>75</v>
      </c>
      <c r="Q236" s="149">
        <v>2.16E-5</v>
      </c>
      <c r="R236" s="149">
        <v>1965000</v>
      </c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  <c r="BI236" s="149"/>
      <c r="BJ236" s="149"/>
      <c r="BK236" s="149"/>
      <c r="BL236" s="149"/>
      <c r="BM236" s="149"/>
      <c r="BN236" s="149"/>
      <c r="BO236" s="149"/>
      <c r="BP236" s="149">
        <v>13.620421874222442</v>
      </c>
      <c r="BQ236" s="149">
        <f t="shared" ca="1" si="15"/>
        <v>13.258893244607039</v>
      </c>
      <c r="BR236" s="149">
        <v>23.820517350353985</v>
      </c>
      <c r="BS236" s="149">
        <v>23.813133891852029</v>
      </c>
      <c r="BT236" s="149">
        <f t="shared" ca="1" si="14"/>
        <v>750.35864256344394</v>
      </c>
      <c r="BU236" s="153">
        <v>28327.262844385492</v>
      </c>
      <c r="BV236" s="149">
        <f t="shared" ca="1" si="16"/>
        <v>1.4407006479366727E-2</v>
      </c>
    </row>
    <row r="237" spans="1:74" x14ac:dyDescent="0.25">
      <c r="A237" s="149">
        <f t="shared" si="17"/>
        <v>236</v>
      </c>
      <c r="B237" s="150" t="s">
        <v>147</v>
      </c>
      <c r="C237" s="151">
        <v>0.45833333333333331</v>
      </c>
      <c r="D237" s="149" t="s">
        <v>142</v>
      </c>
      <c r="E237" s="149" t="s">
        <v>143</v>
      </c>
      <c r="F237" s="149" t="s">
        <v>144</v>
      </c>
      <c r="G237" s="149">
        <v>123821</v>
      </c>
      <c r="H237" s="149">
        <v>4</v>
      </c>
      <c r="I237" s="149">
        <v>28045</v>
      </c>
      <c r="J237" s="149" t="s">
        <v>145</v>
      </c>
      <c r="K237" s="149" t="s">
        <v>83</v>
      </c>
      <c r="L237" s="149" t="s">
        <v>81</v>
      </c>
      <c r="M237" s="149">
        <v>3</v>
      </c>
      <c r="N237" s="149">
        <v>2000</v>
      </c>
      <c r="O237" s="149">
        <v>2.1</v>
      </c>
      <c r="P237" s="149" t="s">
        <v>75</v>
      </c>
      <c r="Q237" s="149">
        <v>2.16E-5</v>
      </c>
      <c r="R237" s="149">
        <v>1965000</v>
      </c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  <c r="BI237" s="149"/>
      <c r="BJ237" s="149"/>
      <c r="BK237" s="149"/>
      <c r="BL237" s="149"/>
      <c r="BM237" s="149"/>
      <c r="BN237" s="149"/>
      <c r="BO237" s="149"/>
      <c r="BP237" s="149">
        <v>14.181620642326804</v>
      </c>
      <c r="BQ237" s="149">
        <f t="shared" ca="1" si="15"/>
        <v>13.775447012849726</v>
      </c>
      <c r="BR237" s="149">
        <v>22.988154015591164</v>
      </c>
      <c r="BS237" s="149">
        <v>22.853986682414966</v>
      </c>
      <c r="BT237" s="149">
        <f t="shared" ca="1" si="14"/>
        <v>689.36494775605911</v>
      </c>
      <c r="BU237" s="153">
        <v>27952.566960306067</v>
      </c>
      <c r="BV237" s="149">
        <f t="shared" ca="1" si="16"/>
        <v>9.0574470452081893E-3</v>
      </c>
    </row>
    <row r="238" spans="1:74" x14ac:dyDescent="0.25">
      <c r="A238" s="149">
        <f t="shared" si="17"/>
        <v>237</v>
      </c>
      <c r="B238" s="150" t="s">
        <v>147</v>
      </c>
      <c r="C238" s="151">
        <v>0.45833333333333331</v>
      </c>
      <c r="D238" s="149" t="s">
        <v>142</v>
      </c>
      <c r="E238" s="149" t="s">
        <v>143</v>
      </c>
      <c r="F238" s="149" t="s">
        <v>144</v>
      </c>
      <c r="G238" s="149">
        <v>123456</v>
      </c>
      <c r="H238" s="149">
        <v>4</v>
      </c>
      <c r="I238" s="149">
        <v>29250</v>
      </c>
      <c r="J238" s="149" t="s">
        <v>137</v>
      </c>
      <c r="K238" s="149" t="s">
        <v>83</v>
      </c>
      <c r="L238" s="149" t="s">
        <v>81</v>
      </c>
      <c r="M238" s="149">
        <v>3</v>
      </c>
      <c r="N238" s="149">
        <v>2000</v>
      </c>
      <c r="O238" s="149">
        <v>2.1</v>
      </c>
      <c r="P238" s="149" t="s">
        <v>75</v>
      </c>
      <c r="Q238" s="149">
        <v>2.16E-5</v>
      </c>
      <c r="R238" s="149">
        <v>1965000</v>
      </c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  <c r="BI238" s="149"/>
      <c r="BJ238" s="149"/>
      <c r="BK238" s="149"/>
      <c r="BL238" s="149"/>
      <c r="BM238" s="149"/>
      <c r="BN238" s="149"/>
      <c r="BO238" s="149"/>
      <c r="BP238" s="149">
        <v>13.296946152610126</v>
      </c>
      <c r="BQ238" s="149">
        <f t="shared" ca="1" si="15"/>
        <v>13.296145277776052</v>
      </c>
      <c r="BR238" s="149">
        <v>21.657113245825862</v>
      </c>
      <c r="BS238" s="149">
        <v>21.407185281829133</v>
      </c>
      <c r="BT238" s="149">
        <f t="shared" ca="1" si="14"/>
        <v>635.8474411854279</v>
      </c>
      <c r="BU238" s="153">
        <v>27792.393382041595</v>
      </c>
      <c r="BV238" s="149">
        <f t="shared" ca="1" si="16"/>
        <v>1.4265426953597091E-2</v>
      </c>
    </row>
    <row r="239" spans="1:74" x14ac:dyDescent="0.25">
      <c r="A239" s="149">
        <f t="shared" si="17"/>
        <v>238</v>
      </c>
      <c r="B239" s="150" t="s">
        <v>147</v>
      </c>
      <c r="C239" s="151">
        <v>0.45833333333333331</v>
      </c>
      <c r="D239" s="149" t="s">
        <v>142</v>
      </c>
      <c r="E239" s="149" t="s">
        <v>143</v>
      </c>
      <c r="F239" s="149" t="s">
        <v>144</v>
      </c>
      <c r="G239" s="149">
        <v>123456</v>
      </c>
      <c r="H239" s="149">
        <v>4</v>
      </c>
      <c r="I239" s="149">
        <v>29250</v>
      </c>
      <c r="J239" s="149" t="s">
        <v>137</v>
      </c>
      <c r="K239" s="149" t="s">
        <v>83</v>
      </c>
      <c r="L239" s="149" t="s">
        <v>81</v>
      </c>
      <c r="M239" s="149">
        <v>3</v>
      </c>
      <c r="N239" s="149">
        <v>2000</v>
      </c>
      <c r="O239" s="149">
        <v>2.1</v>
      </c>
      <c r="P239" s="149" t="s">
        <v>75</v>
      </c>
      <c r="Q239" s="149">
        <v>2.16E-5</v>
      </c>
      <c r="R239" s="149">
        <v>1965000</v>
      </c>
      <c r="S239" s="149"/>
      <c r="T239" s="149"/>
      <c r="U239" s="149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49"/>
      <c r="AF239" s="149"/>
      <c r="AG239" s="149"/>
      <c r="AH239" s="149"/>
      <c r="AI239" s="149"/>
      <c r="AJ239" s="149"/>
      <c r="AK239" s="149"/>
      <c r="AL239" s="149"/>
      <c r="AM239" s="149"/>
      <c r="AN239" s="149"/>
      <c r="AO239" s="149"/>
      <c r="AP239" s="149"/>
      <c r="AQ239" s="149"/>
      <c r="AR239" s="149"/>
      <c r="AS239" s="149"/>
      <c r="AT239" s="149"/>
      <c r="AU239" s="149"/>
      <c r="AV239" s="149"/>
      <c r="AW239" s="149"/>
      <c r="AX239" s="149"/>
      <c r="AY239" s="149"/>
      <c r="AZ239" s="149"/>
      <c r="BA239" s="149"/>
      <c r="BB239" s="149"/>
      <c r="BC239" s="149"/>
      <c r="BD239" s="149"/>
      <c r="BE239" s="149"/>
      <c r="BF239" s="149"/>
      <c r="BG239" s="149"/>
      <c r="BH239" s="149"/>
      <c r="BI239" s="149"/>
      <c r="BJ239" s="149"/>
      <c r="BK239" s="149"/>
      <c r="BL239" s="149"/>
      <c r="BM239" s="149"/>
      <c r="BN239" s="149"/>
      <c r="BO239" s="149"/>
      <c r="BP239" s="149">
        <v>14.87126342456286</v>
      </c>
      <c r="BQ239" s="149">
        <f t="shared" ca="1" si="15"/>
        <v>14.798943512258042</v>
      </c>
      <c r="BR239" s="149">
        <v>18.997712679665259</v>
      </c>
      <c r="BS239" s="149">
        <v>18.546726954231318</v>
      </c>
      <c r="BT239" s="149">
        <f t="shared" ca="1" si="14"/>
        <v>686.42631731444249</v>
      </c>
      <c r="BU239" s="153">
        <v>26939.514568625706</v>
      </c>
      <c r="BV239" s="149">
        <f t="shared" ca="1" si="16"/>
        <v>2.6461507880928676E-2</v>
      </c>
    </row>
    <row r="240" spans="1:74" x14ac:dyDescent="0.25">
      <c r="A240" s="149">
        <f t="shared" si="17"/>
        <v>239</v>
      </c>
      <c r="B240" s="150" t="s">
        <v>147</v>
      </c>
      <c r="C240" s="151">
        <v>0.45833333333333331</v>
      </c>
      <c r="D240" s="149" t="s">
        <v>142</v>
      </c>
      <c r="E240" s="149" t="s">
        <v>143</v>
      </c>
      <c r="F240" s="149" t="s">
        <v>144</v>
      </c>
      <c r="G240" s="149">
        <v>123821</v>
      </c>
      <c r="H240" s="149">
        <v>4</v>
      </c>
      <c r="I240" s="149">
        <v>28045</v>
      </c>
      <c r="J240" s="149" t="s">
        <v>145</v>
      </c>
      <c r="K240" s="149" t="s">
        <v>83</v>
      </c>
      <c r="L240" s="149" t="s">
        <v>81</v>
      </c>
      <c r="M240" s="149">
        <v>3</v>
      </c>
      <c r="N240" s="149">
        <v>2000</v>
      </c>
      <c r="O240" s="149">
        <v>2.1</v>
      </c>
      <c r="P240" s="149" t="s">
        <v>75</v>
      </c>
      <c r="Q240" s="149">
        <v>2.16E-5</v>
      </c>
      <c r="R240" s="149">
        <v>1965000</v>
      </c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  <c r="AI240" s="149"/>
      <c r="AJ240" s="149"/>
      <c r="AK240" s="149"/>
      <c r="AL240" s="149"/>
      <c r="AM240" s="149"/>
      <c r="AN240" s="149"/>
      <c r="AO240" s="149"/>
      <c r="AP240" s="149"/>
      <c r="AQ240" s="149"/>
      <c r="AR240" s="149"/>
      <c r="AS240" s="149"/>
      <c r="AT240" s="149"/>
      <c r="AU240" s="149"/>
      <c r="AV240" s="149"/>
      <c r="AW240" s="149"/>
      <c r="AX240" s="149"/>
      <c r="AY240" s="149"/>
      <c r="AZ240" s="149"/>
      <c r="BA240" s="149"/>
      <c r="BB240" s="149"/>
      <c r="BC240" s="149"/>
      <c r="BD240" s="149"/>
      <c r="BE240" s="149"/>
      <c r="BF240" s="149"/>
      <c r="BG240" s="149"/>
      <c r="BH240" s="149"/>
      <c r="BI240" s="149"/>
      <c r="BJ240" s="149"/>
      <c r="BK240" s="149"/>
      <c r="BL240" s="149"/>
      <c r="BM240" s="149"/>
      <c r="BN240" s="149"/>
      <c r="BO240" s="149"/>
      <c r="BP240" s="149">
        <v>13.004160335112836</v>
      </c>
      <c r="BQ240" s="149">
        <f t="shared" ca="1" si="15"/>
        <v>12.924055226905523</v>
      </c>
      <c r="BR240" s="149">
        <v>20.950732197760331</v>
      </c>
      <c r="BS240" s="149">
        <v>20.687778307066964</v>
      </c>
      <c r="BT240" s="149">
        <f t="shared" ca="1" si="14"/>
        <v>605.86095396765427</v>
      </c>
      <c r="BU240" s="153">
        <v>29642.773031931207</v>
      </c>
      <c r="BV240" s="149">
        <f t="shared" ca="1" si="16"/>
        <v>2.643357438431878E-2</v>
      </c>
    </row>
    <row r="241" spans="1:74" x14ac:dyDescent="0.25">
      <c r="A241" s="149">
        <f t="shared" si="17"/>
        <v>240</v>
      </c>
      <c r="B241" s="150" t="s">
        <v>147</v>
      </c>
      <c r="C241" s="151">
        <v>0.45833333333333331</v>
      </c>
      <c r="D241" s="149" t="s">
        <v>142</v>
      </c>
      <c r="E241" s="149" t="s">
        <v>143</v>
      </c>
      <c r="F241" s="149" t="s">
        <v>144</v>
      </c>
      <c r="G241" s="149">
        <v>123821</v>
      </c>
      <c r="H241" s="149">
        <v>4</v>
      </c>
      <c r="I241" s="149">
        <v>28045</v>
      </c>
      <c r="J241" s="149" t="s">
        <v>145</v>
      </c>
      <c r="K241" s="149" t="s">
        <v>83</v>
      </c>
      <c r="L241" s="149" t="s">
        <v>81</v>
      </c>
      <c r="M241" s="149">
        <v>3</v>
      </c>
      <c r="N241" s="149">
        <v>2000</v>
      </c>
      <c r="O241" s="149">
        <v>2.1</v>
      </c>
      <c r="P241" s="149" t="s">
        <v>75</v>
      </c>
      <c r="Q241" s="149">
        <v>2.16E-5</v>
      </c>
      <c r="R241" s="149">
        <v>1965000</v>
      </c>
      <c r="S241" s="149"/>
      <c r="T241" s="149"/>
      <c r="U241" s="149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49"/>
      <c r="AF241" s="149"/>
      <c r="AG241" s="149"/>
      <c r="AH241" s="149"/>
      <c r="AI241" s="149"/>
      <c r="AJ241" s="149"/>
      <c r="AK241" s="149"/>
      <c r="AL241" s="149"/>
      <c r="AM241" s="149"/>
      <c r="AN241" s="149"/>
      <c r="AO241" s="149"/>
      <c r="AP241" s="149"/>
      <c r="AQ241" s="149"/>
      <c r="AR241" s="149"/>
      <c r="AS241" s="149"/>
      <c r="AT241" s="149"/>
      <c r="AU241" s="149"/>
      <c r="AV241" s="149"/>
      <c r="AW241" s="149"/>
      <c r="AX241" s="149"/>
      <c r="AY241" s="149"/>
      <c r="AZ241" s="149"/>
      <c r="BA241" s="149"/>
      <c r="BB241" s="149"/>
      <c r="BC241" s="149"/>
      <c r="BD241" s="149"/>
      <c r="BE241" s="149"/>
      <c r="BF241" s="149"/>
      <c r="BG241" s="149"/>
      <c r="BH241" s="149"/>
      <c r="BI241" s="149"/>
      <c r="BJ241" s="149"/>
      <c r="BK241" s="149"/>
      <c r="BL241" s="149"/>
      <c r="BM241" s="149"/>
      <c r="BN241" s="149"/>
      <c r="BO241" s="149"/>
      <c r="BP241" s="149">
        <v>12.218676024110266</v>
      </c>
      <c r="BQ241" s="149">
        <f t="shared" ca="1" si="15"/>
        <v>11.836184010620888</v>
      </c>
      <c r="BR241" s="149">
        <v>20.658316530440704</v>
      </c>
      <c r="BS241" s="149">
        <v>20.398933432435548</v>
      </c>
      <c r="BT241" s="149">
        <f t="shared" ca="1" si="14"/>
        <v>756.17861226839022</v>
      </c>
      <c r="BU241" s="153">
        <v>29026.538623395078</v>
      </c>
      <c r="BV241" s="149">
        <f t="shared" ca="1" si="16"/>
        <v>2.7270587265624122E-2</v>
      </c>
    </row>
    <row r="242" spans="1:74" x14ac:dyDescent="0.25">
      <c r="A242" s="149">
        <f t="shared" si="17"/>
        <v>241</v>
      </c>
      <c r="B242" s="150" t="s">
        <v>147</v>
      </c>
      <c r="C242" s="151">
        <v>0.45833333333333331</v>
      </c>
      <c r="D242" s="149" t="s">
        <v>142</v>
      </c>
      <c r="E242" s="149" t="s">
        <v>143</v>
      </c>
      <c r="F242" s="149" t="s">
        <v>144</v>
      </c>
      <c r="G242" s="149">
        <v>123456</v>
      </c>
      <c r="H242" s="149">
        <v>4</v>
      </c>
      <c r="I242" s="149">
        <v>29250</v>
      </c>
      <c r="J242" s="149" t="s">
        <v>137</v>
      </c>
      <c r="K242" s="149" t="s">
        <v>83</v>
      </c>
      <c r="L242" s="149" t="s">
        <v>81</v>
      </c>
      <c r="M242" s="149">
        <v>3</v>
      </c>
      <c r="N242" s="149">
        <v>2000</v>
      </c>
      <c r="O242" s="149">
        <v>2.1</v>
      </c>
      <c r="P242" s="149" t="s">
        <v>75</v>
      </c>
      <c r="Q242" s="149">
        <v>2.16E-5</v>
      </c>
      <c r="R242" s="149">
        <v>1965000</v>
      </c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  <c r="BK242" s="149"/>
      <c r="BL242" s="149"/>
      <c r="BM242" s="149"/>
      <c r="BN242" s="149"/>
      <c r="BO242" s="149"/>
      <c r="BP242" s="149">
        <v>12.814492440888863</v>
      </c>
      <c r="BQ242" s="149">
        <f t="shared" ca="1" si="15"/>
        <v>12.722600235769802</v>
      </c>
      <c r="BR242" s="149">
        <v>23.500622628734089</v>
      </c>
      <c r="BS242" s="149">
        <v>23.189976134443153</v>
      </c>
      <c r="BT242" s="149">
        <f t="shared" ca="1" si="14"/>
        <v>678.32587099849593</v>
      </c>
      <c r="BU242" s="153">
        <v>29109.191385581667</v>
      </c>
      <c r="BV242" s="149">
        <f t="shared" ca="1" si="16"/>
        <v>1.821858608778789E-2</v>
      </c>
    </row>
    <row r="243" spans="1:74" x14ac:dyDescent="0.25">
      <c r="A243" s="149">
        <f t="shared" si="17"/>
        <v>242</v>
      </c>
      <c r="B243" s="150" t="s">
        <v>147</v>
      </c>
      <c r="C243" s="151">
        <v>0.45833333333333331</v>
      </c>
      <c r="D243" s="149" t="s">
        <v>142</v>
      </c>
      <c r="E243" s="149" t="s">
        <v>143</v>
      </c>
      <c r="F243" s="149" t="s">
        <v>144</v>
      </c>
      <c r="G243" s="149">
        <v>123456</v>
      </c>
      <c r="H243" s="149">
        <v>4</v>
      </c>
      <c r="I243" s="149">
        <v>29250</v>
      </c>
      <c r="J243" s="149" t="s">
        <v>137</v>
      </c>
      <c r="K243" s="149" t="s">
        <v>83</v>
      </c>
      <c r="L243" s="149" t="s">
        <v>81</v>
      </c>
      <c r="M243" s="149">
        <v>3</v>
      </c>
      <c r="N243" s="149">
        <v>2000</v>
      </c>
      <c r="O243" s="149">
        <v>2.1</v>
      </c>
      <c r="P243" s="149" t="s">
        <v>75</v>
      </c>
      <c r="Q243" s="149">
        <v>2.16E-5</v>
      </c>
      <c r="R243" s="149">
        <v>1965000</v>
      </c>
      <c r="S243" s="149"/>
      <c r="T243" s="149"/>
      <c r="U243" s="149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49"/>
      <c r="AF243" s="149"/>
      <c r="AG243" s="149"/>
      <c r="AH243" s="149"/>
      <c r="AI243" s="149"/>
      <c r="AJ243" s="149"/>
      <c r="AK243" s="149"/>
      <c r="AL243" s="149"/>
      <c r="AM243" s="149"/>
      <c r="AN243" s="149"/>
      <c r="AO243" s="149"/>
      <c r="AP243" s="149"/>
      <c r="AQ243" s="149"/>
      <c r="AR243" s="149"/>
      <c r="AS243" s="149"/>
      <c r="AT243" s="149"/>
      <c r="AU243" s="149"/>
      <c r="AV243" s="149"/>
      <c r="AW243" s="149"/>
      <c r="AX243" s="149"/>
      <c r="AY243" s="149"/>
      <c r="AZ243" s="149"/>
      <c r="BA243" s="149"/>
      <c r="BB243" s="149"/>
      <c r="BC243" s="149"/>
      <c r="BD243" s="149"/>
      <c r="BE243" s="149"/>
      <c r="BF243" s="149"/>
      <c r="BG243" s="149"/>
      <c r="BH243" s="149"/>
      <c r="BI243" s="149"/>
      <c r="BJ243" s="149"/>
      <c r="BK243" s="149"/>
      <c r="BL243" s="149"/>
      <c r="BM243" s="149"/>
      <c r="BN243" s="149"/>
      <c r="BO243" s="149"/>
      <c r="BP243" s="149">
        <v>13.505798188450957</v>
      </c>
      <c r="BQ243" s="149">
        <f t="shared" ca="1" si="15"/>
        <v>13.486614171731564</v>
      </c>
      <c r="BR243" s="149">
        <v>22.228330291532938</v>
      </c>
      <c r="BS243" s="149">
        <v>21.861644562442464</v>
      </c>
      <c r="BT243" s="149">
        <f t="shared" ca="1" si="14"/>
        <v>612.29086480803551</v>
      </c>
      <c r="BU243" s="153">
        <v>27589.014769076304</v>
      </c>
      <c r="BV243" s="149">
        <f t="shared" ca="1" si="16"/>
        <v>2.2447065330527396E-2</v>
      </c>
    </row>
    <row r="244" spans="1:74" x14ac:dyDescent="0.25">
      <c r="A244" s="149">
        <f t="shared" si="17"/>
        <v>243</v>
      </c>
      <c r="B244" s="150" t="s">
        <v>147</v>
      </c>
      <c r="C244" s="151">
        <v>0.45833333333333331</v>
      </c>
      <c r="D244" s="149" t="s">
        <v>142</v>
      </c>
      <c r="E244" s="149" t="s">
        <v>143</v>
      </c>
      <c r="F244" s="149" t="s">
        <v>144</v>
      </c>
      <c r="G244" s="149">
        <v>123821</v>
      </c>
      <c r="H244" s="149">
        <v>4</v>
      </c>
      <c r="I244" s="149">
        <v>28045</v>
      </c>
      <c r="J244" s="149" t="s">
        <v>145</v>
      </c>
      <c r="K244" s="149" t="s">
        <v>83</v>
      </c>
      <c r="L244" s="149" t="s">
        <v>81</v>
      </c>
      <c r="M244" s="149">
        <v>3</v>
      </c>
      <c r="N244" s="149">
        <v>2000</v>
      </c>
      <c r="O244" s="149">
        <v>2.1</v>
      </c>
      <c r="P244" s="149" t="s">
        <v>75</v>
      </c>
      <c r="Q244" s="149">
        <v>2.16E-5</v>
      </c>
      <c r="R244" s="149">
        <v>1965000</v>
      </c>
      <c r="S244" s="149"/>
      <c r="T244" s="149"/>
      <c r="U244" s="149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49"/>
      <c r="AF244" s="149"/>
      <c r="AG244" s="149"/>
      <c r="AH244" s="149"/>
      <c r="AI244" s="149"/>
      <c r="AJ244" s="149"/>
      <c r="AK244" s="149"/>
      <c r="AL244" s="149"/>
      <c r="AM244" s="149"/>
      <c r="AN244" s="149"/>
      <c r="AO244" s="149"/>
      <c r="AP244" s="149"/>
      <c r="AQ244" s="149"/>
      <c r="AR244" s="149"/>
      <c r="AS244" s="149"/>
      <c r="AT244" s="149"/>
      <c r="AU244" s="149"/>
      <c r="AV244" s="149"/>
      <c r="AW244" s="149"/>
      <c r="AX244" s="149"/>
      <c r="AY244" s="149"/>
      <c r="AZ244" s="149"/>
      <c r="BA244" s="149"/>
      <c r="BB244" s="149"/>
      <c r="BC244" s="149"/>
      <c r="BD244" s="149"/>
      <c r="BE244" s="149"/>
      <c r="BF244" s="149"/>
      <c r="BG244" s="149"/>
      <c r="BH244" s="149"/>
      <c r="BI244" s="149"/>
      <c r="BJ244" s="149"/>
      <c r="BK244" s="149"/>
      <c r="BL244" s="149"/>
      <c r="BM244" s="149"/>
      <c r="BN244" s="149"/>
      <c r="BO244" s="149"/>
      <c r="BP244" s="149">
        <v>12.854010034726121</v>
      </c>
      <c r="BQ244" s="149">
        <f t="shared" ca="1" si="15"/>
        <v>12.544835198976303</v>
      </c>
      <c r="BR244" s="149">
        <v>22.152699008711458</v>
      </c>
      <c r="BS244" s="149">
        <v>21.710136237527106</v>
      </c>
      <c r="BT244" s="149">
        <f t="shared" ca="1" si="14"/>
        <v>773.4184092753128</v>
      </c>
      <c r="BU244" s="153">
        <v>29189.099611044549</v>
      </c>
      <c r="BV244" s="149">
        <f t="shared" ca="1" si="16"/>
        <v>1.6835993854969995E-2</v>
      </c>
    </row>
    <row r="245" spans="1:74" x14ac:dyDescent="0.25">
      <c r="A245" s="149">
        <f t="shared" si="17"/>
        <v>244</v>
      </c>
      <c r="B245" s="150" t="s">
        <v>147</v>
      </c>
      <c r="C245" s="151">
        <v>0.45833333333333331</v>
      </c>
      <c r="D245" s="149" t="s">
        <v>142</v>
      </c>
      <c r="E245" s="149" t="s">
        <v>143</v>
      </c>
      <c r="F245" s="149" t="s">
        <v>144</v>
      </c>
      <c r="G245" s="149">
        <v>123821</v>
      </c>
      <c r="H245" s="149">
        <v>4</v>
      </c>
      <c r="I245" s="149">
        <v>28045</v>
      </c>
      <c r="J245" s="149" t="s">
        <v>145</v>
      </c>
      <c r="K245" s="149" t="s">
        <v>83</v>
      </c>
      <c r="L245" s="149" t="s">
        <v>81</v>
      </c>
      <c r="M245" s="149">
        <v>3</v>
      </c>
      <c r="N245" s="149">
        <v>2000</v>
      </c>
      <c r="O245" s="149">
        <v>2.1</v>
      </c>
      <c r="P245" s="149" t="s">
        <v>75</v>
      </c>
      <c r="Q245" s="149">
        <v>2.16E-5</v>
      </c>
      <c r="R245" s="149">
        <v>1965000</v>
      </c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  <c r="AI245" s="149"/>
      <c r="AJ245" s="149"/>
      <c r="AK245" s="149"/>
      <c r="AL245" s="149"/>
      <c r="AM245" s="149"/>
      <c r="AN245" s="149"/>
      <c r="AO245" s="149"/>
      <c r="AP245" s="149"/>
      <c r="AQ245" s="149"/>
      <c r="AR245" s="149"/>
      <c r="AS245" s="149"/>
      <c r="AT245" s="149"/>
      <c r="AU245" s="149"/>
      <c r="AV245" s="149"/>
      <c r="AW245" s="149"/>
      <c r="AX245" s="149"/>
      <c r="AY245" s="149"/>
      <c r="AZ245" s="149"/>
      <c r="BA245" s="149"/>
      <c r="BB245" s="149"/>
      <c r="BC245" s="149"/>
      <c r="BD245" s="149"/>
      <c r="BE245" s="149"/>
      <c r="BF245" s="149"/>
      <c r="BG245" s="149"/>
      <c r="BH245" s="149"/>
      <c r="BI245" s="149"/>
      <c r="BJ245" s="149"/>
      <c r="BK245" s="149"/>
      <c r="BL245" s="149"/>
      <c r="BM245" s="149"/>
      <c r="BN245" s="149"/>
      <c r="BO245" s="149"/>
      <c r="BP245" s="149">
        <v>13.119876913810428</v>
      </c>
      <c r="BQ245" s="149">
        <f t="shared" ca="1" si="15"/>
        <v>12.926807617107311</v>
      </c>
      <c r="BR245" s="149">
        <v>22.799291762417816</v>
      </c>
      <c r="BS245" s="149">
        <v>22.70575658931822</v>
      </c>
      <c r="BT245" s="149">
        <f t="shared" ca="1" si="14"/>
        <v>650.04852258067945</v>
      </c>
      <c r="BU245" s="153">
        <v>27174.425636826865</v>
      </c>
      <c r="BV245" s="149">
        <f t="shared" ca="1" si="16"/>
        <v>4.6811749233007334E-3</v>
      </c>
    </row>
    <row r="246" spans="1:74" x14ac:dyDescent="0.25">
      <c r="A246" s="149">
        <f t="shared" si="17"/>
        <v>245</v>
      </c>
      <c r="B246" s="150" t="s">
        <v>147</v>
      </c>
      <c r="C246" s="151">
        <v>0.45833333333333331</v>
      </c>
      <c r="D246" s="149" t="s">
        <v>142</v>
      </c>
      <c r="E246" s="149" t="s">
        <v>143</v>
      </c>
      <c r="F246" s="149" t="s">
        <v>144</v>
      </c>
      <c r="G246" s="149">
        <v>123456</v>
      </c>
      <c r="H246" s="149">
        <v>4</v>
      </c>
      <c r="I246" s="149">
        <v>29250</v>
      </c>
      <c r="J246" s="149" t="s">
        <v>137</v>
      </c>
      <c r="K246" s="149" t="s">
        <v>83</v>
      </c>
      <c r="L246" s="149" t="s">
        <v>81</v>
      </c>
      <c r="M246" s="149">
        <v>3</v>
      </c>
      <c r="N246" s="149">
        <v>2000</v>
      </c>
      <c r="O246" s="149">
        <v>2.1</v>
      </c>
      <c r="P246" s="149" t="s">
        <v>75</v>
      </c>
      <c r="Q246" s="149">
        <v>2.16E-5</v>
      </c>
      <c r="R246" s="149">
        <v>1965000</v>
      </c>
      <c r="S246" s="149"/>
      <c r="T246" s="149"/>
      <c r="U246" s="149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49"/>
      <c r="AF246" s="149"/>
      <c r="AG246" s="149"/>
      <c r="AH246" s="149"/>
      <c r="AI246" s="149"/>
      <c r="AJ246" s="149"/>
      <c r="AK246" s="149"/>
      <c r="AL246" s="149"/>
      <c r="AM246" s="149"/>
      <c r="AN246" s="149"/>
      <c r="AO246" s="149"/>
      <c r="AP246" s="149"/>
      <c r="AQ246" s="149"/>
      <c r="AR246" s="149"/>
      <c r="AS246" s="149"/>
      <c r="AT246" s="149"/>
      <c r="AU246" s="149"/>
      <c r="AV246" s="149"/>
      <c r="AW246" s="149"/>
      <c r="AX246" s="149"/>
      <c r="AY246" s="149"/>
      <c r="AZ246" s="149"/>
      <c r="BA246" s="149"/>
      <c r="BB246" s="149"/>
      <c r="BC246" s="149"/>
      <c r="BD246" s="149"/>
      <c r="BE246" s="149"/>
      <c r="BF246" s="149"/>
      <c r="BG246" s="149"/>
      <c r="BH246" s="149"/>
      <c r="BI246" s="149"/>
      <c r="BJ246" s="149"/>
      <c r="BK246" s="149"/>
      <c r="BL246" s="149"/>
      <c r="BM246" s="149"/>
      <c r="BN246" s="149"/>
      <c r="BO246" s="149"/>
      <c r="BP246" s="149">
        <v>14.71630221837987</v>
      </c>
      <c r="BQ246" s="149">
        <f t="shared" ca="1" si="15"/>
        <v>14.278687106451772</v>
      </c>
      <c r="BR246" s="149">
        <v>19.820932067868196</v>
      </c>
      <c r="BS246" s="149">
        <v>19.639446970605007</v>
      </c>
      <c r="BT246" s="149">
        <f t="shared" ca="1" si="14"/>
        <v>676.55126008153582</v>
      </c>
      <c r="BU246" s="153">
        <v>28453.408157971979</v>
      </c>
      <c r="BV246" s="149">
        <f t="shared" ca="1" si="16"/>
        <v>1.1191861601459657E-2</v>
      </c>
    </row>
    <row r="247" spans="1:74" x14ac:dyDescent="0.25">
      <c r="A247" s="149">
        <v>246</v>
      </c>
      <c r="B247" s="150" t="s">
        <v>147</v>
      </c>
      <c r="C247" s="151">
        <v>0.45833333333333331</v>
      </c>
      <c r="D247" s="149" t="s">
        <v>142</v>
      </c>
      <c r="E247" s="149" t="s">
        <v>143</v>
      </c>
      <c r="F247" s="149" t="s">
        <v>144</v>
      </c>
      <c r="G247" s="149">
        <v>123456</v>
      </c>
      <c r="H247" s="149">
        <v>4</v>
      </c>
      <c r="I247" s="149">
        <v>29250</v>
      </c>
      <c r="J247" s="149" t="s">
        <v>137</v>
      </c>
      <c r="K247" s="149" t="s">
        <v>83</v>
      </c>
      <c r="L247" s="149" t="s">
        <v>81</v>
      </c>
      <c r="M247" s="149">
        <v>3</v>
      </c>
      <c r="N247" s="149">
        <v>2000</v>
      </c>
      <c r="O247" s="149">
        <v>2.1</v>
      </c>
      <c r="P247" s="149" t="s">
        <v>75</v>
      </c>
      <c r="Q247" s="149">
        <v>2.16E-5</v>
      </c>
      <c r="R247" s="149">
        <v>1965000</v>
      </c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  <c r="AI247" s="149"/>
      <c r="AJ247" s="149"/>
      <c r="AK247" s="149"/>
      <c r="AL247" s="149"/>
      <c r="AM247" s="149"/>
      <c r="AN247" s="149"/>
      <c r="AO247" s="149"/>
      <c r="AP247" s="149"/>
      <c r="AQ247" s="149"/>
      <c r="AR247" s="149"/>
      <c r="AS247" s="149"/>
      <c r="AT247" s="149"/>
      <c r="AU247" s="149"/>
      <c r="AV247" s="149"/>
      <c r="AW247" s="149"/>
      <c r="AX247" s="149"/>
      <c r="AY247" s="149"/>
      <c r="AZ247" s="149"/>
      <c r="BA247" s="149"/>
      <c r="BB247" s="149"/>
      <c r="BC247" s="149"/>
      <c r="BD247" s="149"/>
      <c r="BE247" s="149"/>
      <c r="BF247" s="149"/>
      <c r="BG247" s="149"/>
      <c r="BH247" s="149"/>
      <c r="BI247" s="149"/>
      <c r="BJ247" s="149"/>
      <c r="BK247" s="149"/>
      <c r="BL247" s="149"/>
      <c r="BM247" s="149"/>
      <c r="BN247" s="149"/>
      <c r="BO247" s="149"/>
      <c r="BP247" s="149">
        <v>13.5</v>
      </c>
      <c r="BQ247" s="149">
        <v>14</v>
      </c>
      <c r="BR247" s="149">
        <v>23</v>
      </c>
      <c r="BS247" s="149">
        <v>19.600000000000001</v>
      </c>
      <c r="BT247" s="149">
        <v>650</v>
      </c>
      <c r="BU247" s="149">
        <v>30234</v>
      </c>
      <c r="BV247" s="149">
        <v>1.4999999999999999E-2</v>
      </c>
    </row>
    <row r="248" spans="1:74" x14ac:dyDescent="0.25">
      <c r="A248" s="149">
        <v>247</v>
      </c>
      <c r="B248" s="150" t="s">
        <v>147</v>
      </c>
      <c r="C248" s="151">
        <v>0.45833333333333331</v>
      </c>
      <c r="D248" s="149" t="s">
        <v>142</v>
      </c>
      <c r="E248" s="149" t="s">
        <v>143</v>
      </c>
      <c r="F248" s="149" t="s">
        <v>144</v>
      </c>
      <c r="G248" s="149">
        <v>123456</v>
      </c>
      <c r="H248" s="149">
        <v>4</v>
      </c>
      <c r="I248" s="149">
        <v>29250</v>
      </c>
      <c r="J248" s="149" t="s">
        <v>137</v>
      </c>
      <c r="K248" s="149" t="s">
        <v>83</v>
      </c>
      <c r="L248" s="149" t="s">
        <v>81</v>
      </c>
      <c r="M248" s="149">
        <v>3</v>
      </c>
      <c r="N248" s="149">
        <v>2000</v>
      </c>
      <c r="O248" s="149">
        <v>2.1</v>
      </c>
      <c r="P248" s="149" t="s">
        <v>75</v>
      </c>
      <c r="Q248" s="149">
        <v>2.16E-5</v>
      </c>
      <c r="R248" s="149">
        <v>1965000</v>
      </c>
      <c r="S248" s="149"/>
      <c r="T248" s="149"/>
      <c r="U248" s="149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49"/>
      <c r="AF248" s="149"/>
      <c r="AG248" s="149"/>
      <c r="AH248" s="149"/>
      <c r="AI248" s="149"/>
      <c r="AJ248" s="149"/>
      <c r="AK248" s="149"/>
      <c r="AL248" s="149"/>
      <c r="AM248" s="149"/>
      <c r="AN248" s="149"/>
      <c r="AO248" s="149"/>
      <c r="AP248" s="149"/>
      <c r="AQ248" s="149"/>
      <c r="AR248" s="149"/>
      <c r="AS248" s="149"/>
      <c r="AT248" s="149"/>
      <c r="AU248" s="149"/>
      <c r="AV248" s="149"/>
      <c r="AW248" s="149"/>
      <c r="AX248" s="149"/>
      <c r="AY248" s="149"/>
      <c r="AZ248" s="149"/>
      <c r="BA248" s="149"/>
      <c r="BB248" s="149"/>
      <c r="BC248" s="149"/>
      <c r="BD248" s="149"/>
      <c r="BE248" s="149"/>
      <c r="BF248" s="149"/>
      <c r="BG248" s="149"/>
      <c r="BH248" s="149"/>
      <c r="BI248" s="149"/>
      <c r="BJ248" s="149"/>
      <c r="BK248" s="149"/>
      <c r="BL248" s="149"/>
      <c r="BM248" s="149"/>
      <c r="BN248" s="149"/>
      <c r="BO248" s="149"/>
      <c r="BP248" s="149">
        <v>13.5</v>
      </c>
      <c r="BQ248" s="149">
        <v>14</v>
      </c>
      <c r="BR248" s="149">
        <v>23</v>
      </c>
      <c r="BS248" s="149">
        <v>19.600000000000001</v>
      </c>
      <c r="BT248" s="149">
        <v>650</v>
      </c>
      <c r="BU248" s="149">
        <v>27876.23</v>
      </c>
      <c r="BV248" s="155">
        <v>1.4999999999999999E-2</v>
      </c>
    </row>
    <row r="249" spans="1:74" x14ac:dyDescent="0.25">
      <c r="A249" s="1"/>
      <c r="B249" s="27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00"/>
    </row>
    <row r="250" spans="1:74" x14ac:dyDescent="0.25">
      <c r="A250" s="1"/>
      <c r="B250" s="27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00"/>
    </row>
    <row r="251" spans="1:74" x14ac:dyDescent="0.25">
      <c r="A251" s="1"/>
      <c r="B251" s="27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00"/>
    </row>
    <row r="252" spans="1:74" x14ac:dyDescent="0.25">
      <c r="A252" s="1"/>
      <c r="B252" s="27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00"/>
    </row>
    <row r="253" spans="1:74" x14ac:dyDescent="0.25">
      <c r="A253" s="1"/>
      <c r="B253" s="27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00"/>
    </row>
    <row r="254" spans="1:74" x14ac:dyDescent="0.25">
      <c r="A254" s="1"/>
      <c r="B254" s="27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00"/>
    </row>
    <row r="255" spans="1:74" x14ac:dyDescent="0.25">
      <c r="A255" s="1"/>
      <c r="B255" s="27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00"/>
    </row>
    <row r="256" spans="1:74" x14ac:dyDescent="0.25">
      <c r="A256" s="1"/>
      <c r="B256" s="27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00"/>
    </row>
    <row r="257" spans="1:74" x14ac:dyDescent="0.25">
      <c r="A257" s="1"/>
      <c r="B257" s="27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00"/>
    </row>
    <row r="258" spans="1:74" x14ac:dyDescent="0.25">
      <c r="A258" s="1"/>
      <c r="B258" s="27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00"/>
    </row>
    <row r="259" spans="1:74" x14ac:dyDescent="0.25">
      <c r="A259" s="1"/>
      <c r="B259" s="27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00"/>
    </row>
    <row r="260" spans="1:74" x14ac:dyDescent="0.25">
      <c r="A260" s="1"/>
      <c r="B260" s="27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00"/>
    </row>
    <row r="261" spans="1:74" x14ac:dyDescent="0.25">
      <c r="A261" s="1"/>
      <c r="B261" s="27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00"/>
    </row>
    <row r="262" spans="1:74" x14ac:dyDescent="0.25">
      <c r="A262" s="1"/>
      <c r="B262" s="27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00"/>
    </row>
    <row r="263" spans="1:74" x14ac:dyDescent="0.25">
      <c r="A263" s="1"/>
      <c r="B263" s="27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00"/>
    </row>
    <row r="264" spans="1:74" x14ac:dyDescent="0.25">
      <c r="A264" s="1"/>
      <c r="B264" s="27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00"/>
    </row>
    <row r="265" spans="1:74" x14ac:dyDescent="0.25">
      <c r="A265" s="1"/>
      <c r="B265" s="27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00"/>
    </row>
    <row r="266" spans="1:74" x14ac:dyDescent="0.25">
      <c r="A266" s="1"/>
      <c r="B266" s="27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00"/>
    </row>
    <row r="267" spans="1:74" x14ac:dyDescent="0.25">
      <c r="A267" s="1"/>
      <c r="B267" s="27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00"/>
    </row>
    <row r="268" spans="1:74" x14ac:dyDescent="0.25">
      <c r="A268" s="1"/>
      <c r="B268" s="27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00"/>
    </row>
    <row r="269" spans="1:74" x14ac:dyDescent="0.25">
      <c r="A269" s="1"/>
      <c r="B269" s="27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00"/>
    </row>
    <row r="270" spans="1:74" x14ac:dyDescent="0.25">
      <c r="A270" s="1"/>
      <c r="B270" s="27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00"/>
    </row>
    <row r="271" spans="1:74" x14ac:dyDescent="0.25">
      <c r="A271" s="1"/>
      <c r="B271" s="27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00"/>
    </row>
    <row r="272" spans="1:74" x14ac:dyDescent="0.25">
      <c r="A272" s="1"/>
      <c r="B272" s="27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00"/>
    </row>
    <row r="273" spans="1:74" x14ac:dyDescent="0.25">
      <c r="A273" s="1"/>
      <c r="B273" s="27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00"/>
    </row>
    <row r="274" spans="1:74" x14ac:dyDescent="0.25">
      <c r="A274" s="1"/>
      <c r="B274" s="27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00"/>
    </row>
    <row r="275" spans="1:74" x14ac:dyDescent="0.25">
      <c r="A275" s="1"/>
      <c r="B275" s="27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00"/>
    </row>
    <row r="276" spans="1:74" x14ac:dyDescent="0.25">
      <c r="A276" s="1"/>
      <c r="B276" s="27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00"/>
    </row>
    <row r="277" spans="1:74" x14ac:dyDescent="0.25">
      <c r="A277" s="1"/>
      <c r="B277" s="27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00"/>
    </row>
    <row r="278" spans="1:74" x14ac:dyDescent="0.25">
      <c r="A278" s="1"/>
      <c r="B278" s="27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00"/>
    </row>
    <row r="279" spans="1:74" x14ac:dyDescent="0.25">
      <c r="A279" s="1"/>
      <c r="B279" s="27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00"/>
    </row>
    <row r="280" spans="1:74" x14ac:dyDescent="0.25">
      <c r="A280" s="1"/>
      <c r="B280" s="27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00"/>
    </row>
    <row r="281" spans="1:74" x14ac:dyDescent="0.25">
      <c r="A281" s="1"/>
      <c r="B281" s="27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00"/>
    </row>
    <row r="282" spans="1:74" x14ac:dyDescent="0.25">
      <c r="A282" s="1"/>
      <c r="B282" s="27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00"/>
    </row>
    <row r="283" spans="1:74" x14ac:dyDescent="0.25">
      <c r="A283" s="1"/>
      <c r="B283" s="27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00"/>
    </row>
    <row r="284" spans="1:74" x14ac:dyDescent="0.25">
      <c r="A284" s="1"/>
      <c r="B284" s="27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00"/>
    </row>
    <row r="285" spans="1:74" x14ac:dyDescent="0.25">
      <c r="A285" s="1"/>
      <c r="B285" s="27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00"/>
    </row>
    <row r="286" spans="1:74" x14ac:dyDescent="0.25">
      <c r="A286" s="1"/>
      <c r="B286" s="27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00"/>
    </row>
    <row r="287" spans="1:74" x14ac:dyDescent="0.25">
      <c r="A287" s="1"/>
      <c r="B287" s="27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00"/>
    </row>
    <row r="288" spans="1:74" x14ac:dyDescent="0.25">
      <c r="A288" s="1"/>
      <c r="B288" s="27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00"/>
    </row>
    <row r="289" spans="1:74" x14ac:dyDescent="0.25">
      <c r="A289" s="1"/>
      <c r="B289" s="27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00"/>
    </row>
    <row r="290" spans="1:74" x14ac:dyDescent="0.25">
      <c r="A290" s="1"/>
      <c r="B290" s="27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00"/>
    </row>
    <row r="291" spans="1:74" x14ac:dyDescent="0.25">
      <c r="A291" s="1"/>
      <c r="B291" s="27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00"/>
    </row>
    <row r="292" spans="1:74" x14ac:dyDescent="0.25">
      <c r="A292" s="1"/>
      <c r="B292" s="27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00"/>
    </row>
    <row r="293" spans="1:74" x14ac:dyDescent="0.25">
      <c r="A293" s="1"/>
      <c r="B293" s="27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00"/>
    </row>
    <row r="442" spans="72:73" x14ac:dyDescent="0.25">
      <c r="BT442">
        <v>760</v>
      </c>
      <c r="BU442">
        <v>29800</v>
      </c>
    </row>
    <row r="470" spans="72:73" x14ac:dyDescent="0.25">
      <c r="BT470">
        <v>760</v>
      </c>
      <c r="BU470">
        <v>29800</v>
      </c>
    </row>
    <row r="472" spans="72:73" x14ac:dyDescent="0.25">
      <c r="BT472">
        <v>760</v>
      </c>
      <c r="BU472">
        <v>29800</v>
      </c>
    </row>
    <row r="474" spans="72:73" x14ac:dyDescent="0.25">
      <c r="BT474">
        <v>800</v>
      </c>
      <c r="BU474">
        <v>31200</v>
      </c>
    </row>
    <row r="475" spans="72:73" x14ac:dyDescent="0.25">
      <c r="BT475">
        <v>800</v>
      </c>
      <c r="BU475">
        <v>31200</v>
      </c>
    </row>
  </sheetData>
  <sheetProtection algorithmName="SHA-512" hashValue="7aCzd/ai7rD4QhHWnIyrguDsi9HDXVtZyV2aKbLb5uwmPt0SA/ahB6lRXL2bd9TGFlousafHvP1Byo6Jak99wQ==" saltValue="mac8hZPi/TAHNp2HsWBog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3</vt:i4>
      </vt:variant>
      <vt:variant>
        <vt:lpstr>Imenovani obsegi</vt:lpstr>
      </vt:variant>
      <vt:variant>
        <vt:i4>6</vt:i4>
      </vt:variant>
    </vt:vector>
  </HeadingPairs>
  <TitlesOfParts>
    <vt:vector size="9" baseType="lpstr">
      <vt:lpstr>Dashboard</vt:lpstr>
      <vt:lpstr>Calculation</vt:lpstr>
      <vt:lpstr>Prove_History</vt:lpstr>
      <vt:lpstr>Detectors</vt:lpstr>
      <vt:lpstr>Hist_Start</vt:lpstr>
      <vt:lpstr>NoFlows</vt:lpstr>
      <vt:lpstr>Dashboard!Področje_tiskanja</vt:lpstr>
      <vt:lpstr>ProveNo</vt:lpstr>
      <vt:lpstr>RepTags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Milenko.Manojlovic@sgs.com</dc:creator>
  <cp:lastModifiedBy>milenko manojlovic</cp:lastModifiedBy>
  <cp:lastPrinted>2021-08-25T04:02:42Z</cp:lastPrinted>
  <dcterms:created xsi:type="dcterms:W3CDTF">2011-01-24T16:34:22Z</dcterms:created>
  <dcterms:modified xsi:type="dcterms:W3CDTF">2021-09-08T04:58:56Z</dcterms:modified>
</cp:coreProperties>
</file>