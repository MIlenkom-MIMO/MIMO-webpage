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imometeringservices-my.sharepoint.com/personal/milenko_mimometeringservices_onmicrosoft_com/Documents/MIMO/MIMO Calculations Pack/"/>
    </mc:Choice>
  </mc:AlternateContent>
  <xr:revisionPtr revIDLastSave="2122" documentId="8_{AF32EF0A-251D-42C1-8E92-AC94F143D868}" xr6:coauthVersionLast="45" xr6:coauthVersionMax="45" xr10:uidLastSave="{38523719-90F1-48F8-B104-3E02E415C43C}"/>
  <bookViews>
    <workbookView xWindow="-120" yWindow="-120" windowWidth="29040" windowHeight="15840" xr2:uid="{00000000-000D-0000-FFFF-FFFF00000000}"/>
  </bookViews>
  <sheets>
    <sheet name="Meas Tables 2004" sheetId="2" r:id="rId1"/>
    <sheet name="Meas Tables 1980" sheetId="3" r:id="rId2"/>
  </sheets>
  <functionGroups builtInGroupCount="19"/>
  <definedNames>
    <definedName name="CalcType" localSheetId="1">#REF!</definedName>
    <definedName name="CalcType">#REF!</definedName>
    <definedName name="Commodity" localSheetId="1">#REF!</definedName>
    <definedName name="Commodity">#REF!</definedName>
    <definedName name="DensU" localSheetId="1">#REF!</definedName>
    <definedName name="DensU">#REF!</definedName>
    <definedName name="PressU" localSheetId="1">#REF!</definedName>
    <definedName name="PressU">#REF!</definedName>
    <definedName name="ProvMat" localSheetId="1">#REF!</definedName>
    <definedName name="ProvMat">#REF!</definedName>
    <definedName name="Tables" localSheetId="1">'Meas Tables 1980'!$A$12:$A$37</definedName>
    <definedName name="Tables">'Meas Tables 2004'!$A$12:$A$37</definedName>
    <definedName name="TempU" localSheetId="1">#REF!</definedName>
    <definedName name="TempU">#REF!</definedName>
    <definedName name="Units" localSheetId="1">#REF!</definedName>
    <definedName name="Unit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0" i="2" l="1"/>
  <c r="M8" i="2"/>
  <c r="L10" i="3"/>
  <c r="M8" i="3"/>
  <c r="N8" i="3" l="1"/>
  <c r="T8" i="3"/>
  <c r="L8" i="3"/>
  <c r="M14" i="2"/>
  <c r="S25" i="2"/>
  <c r="S54" i="2"/>
  <c r="R38" i="2"/>
  <c r="S41" i="2"/>
  <c r="S43" i="3"/>
  <c r="O32" i="3"/>
  <c r="S22" i="3"/>
  <c r="O11" i="3"/>
  <c r="O53" i="3"/>
  <c r="R25" i="3"/>
  <c r="O56" i="2"/>
  <c r="Q43" i="2"/>
  <c r="P35" i="2"/>
  <c r="O12" i="2"/>
  <c r="N45" i="2"/>
  <c r="Q10" i="2"/>
  <c r="M11" i="2"/>
  <c r="Q52" i="2"/>
  <c r="P36" i="2"/>
  <c r="O29" i="2"/>
  <c r="Q41" i="3"/>
  <c r="M30" i="3"/>
  <c r="Q20" i="3"/>
  <c r="R15" i="3"/>
  <c r="M51" i="3"/>
  <c r="P23" i="3"/>
  <c r="N28" i="2"/>
  <c r="P50" i="2"/>
  <c r="O42" i="2"/>
  <c r="N26" i="2"/>
  <c r="M52" i="2"/>
  <c r="O31" i="3"/>
  <c r="O16" i="3"/>
  <c r="O10" i="3"/>
  <c r="N59" i="3"/>
  <c r="N22" i="2"/>
  <c r="P33" i="2"/>
  <c r="M18" i="2"/>
  <c r="P23" i="2"/>
  <c r="R19" i="3"/>
  <c r="R30" i="3"/>
  <c r="P38" i="3"/>
  <c r="P58" i="3"/>
  <c r="S12" i="2"/>
  <c r="N50" i="2"/>
  <c r="M10" i="2"/>
  <c r="M55" i="3"/>
  <c r="Q13" i="3"/>
  <c r="R24" i="3"/>
  <c r="O19" i="3"/>
  <c r="M55" i="2"/>
  <c r="R30" i="2"/>
  <c r="M45" i="3"/>
  <c r="Q52" i="3"/>
  <c r="S56" i="3"/>
  <c r="Q56" i="3"/>
  <c r="P47" i="2"/>
  <c r="R43" i="2"/>
  <c r="S22" i="2"/>
  <c r="Q32" i="2"/>
  <c r="N31" i="3"/>
  <c r="S39" i="3"/>
  <c r="P46" i="3"/>
  <c r="Q27" i="2"/>
  <c r="O39" i="2"/>
  <c r="Q11" i="2"/>
  <c r="O36" i="2"/>
  <c r="R10" i="3"/>
  <c r="O18" i="3"/>
  <c r="N27" i="3"/>
  <c r="N29" i="3"/>
  <c r="Q44" i="3"/>
  <c r="N23" i="2"/>
  <c r="O59" i="2"/>
  <c r="O14" i="2"/>
  <c r="N24" i="3"/>
  <c r="Q21" i="3"/>
  <c r="P30" i="3"/>
  <c r="O52" i="2"/>
  <c r="S52" i="2"/>
  <c r="M32" i="2"/>
  <c r="R41" i="2"/>
  <c r="S36" i="3"/>
  <c r="R46" i="3"/>
  <c r="N52" i="3"/>
  <c r="M36" i="3"/>
  <c r="M23" i="3"/>
  <c r="M51" i="2"/>
  <c r="S53" i="2"/>
  <c r="R45" i="2"/>
  <c r="Q29" i="2"/>
  <c r="P55" i="2"/>
  <c r="R34" i="3"/>
  <c r="M22" i="3"/>
  <c r="R13" i="3"/>
  <c r="S29" i="3"/>
  <c r="N44" i="3"/>
  <c r="Q16" i="3"/>
  <c r="N47" i="2"/>
  <c r="P34" i="2"/>
  <c r="O26" i="2"/>
  <c r="N59" i="2"/>
  <c r="M36" i="2"/>
  <c r="M35" i="2"/>
  <c r="Q51" i="2"/>
  <c r="P43" i="2"/>
  <c r="O27" i="2"/>
  <c r="N53" i="2"/>
  <c r="P32" i="3"/>
  <c r="P17" i="3"/>
  <c r="P11" i="3"/>
  <c r="R12" i="3"/>
  <c r="S41" i="3"/>
  <c r="O14" i="3"/>
  <c r="M54" i="2"/>
  <c r="O41" i="2"/>
  <c r="N33" i="2"/>
  <c r="N52" i="2"/>
  <c r="S42" i="2"/>
  <c r="N22" i="3"/>
  <c r="Q59" i="3"/>
  <c r="S21" i="3"/>
  <c r="M50" i="3"/>
  <c r="M13" i="2"/>
  <c r="N15" i="2"/>
  <c r="O51" i="2"/>
  <c r="S10" i="2"/>
  <c r="N56" i="3"/>
  <c r="R14" i="3"/>
  <c r="M27" i="3"/>
  <c r="N13" i="3"/>
  <c r="N56" i="2"/>
  <c r="S31" i="2"/>
  <c r="N46" i="3"/>
  <c r="R53" i="3"/>
  <c r="M58" i="3"/>
  <c r="R57" i="3"/>
  <c r="R40" i="3"/>
  <c r="R36" i="2"/>
  <c r="Q23" i="2"/>
  <c r="M29" i="3"/>
  <c r="Q36" i="3"/>
  <c r="N43" i="3"/>
  <c r="N45" i="3"/>
  <c r="M54" i="3"/>
  <c r="P25" i="2"/>
  <c r="M19" i="2"/>
  <c r="M20" i="2"/>
  <c r="R44" i="3"/>
  <c r="S23" i="3"/>
  <c r="S33" i="3"/>
  <c r="P19" i="2"/>
  <c r="N14" i="2"/>
  <c r="O58" i="2"/>
  <c r="Q14" i="2"/>
  <c r="Q58" i="3"/>
  <c r="M12" i="3"/>
  <c r="S17" i="3"/>
  <c r="R17" i="3"/>
  <c r="M33" i="3"/>
  <c r="Q39" i="2"/>
  <c r="M41" i="2"/>
  <c r="N54" i="3"/>
  <c r="M47" i="3"/>
  <c r="O13" i="3"/>
  <c r="Q15" i="3"/>
  <c r="M37" i="3"/>
  <c r="Q34" i="2"/>
  <c r="R14" i="2"/>
  <c r="S26" i="2"/>
  <c r="N23" i="3"/>
  <c r="S31" i="3"/>
  <c r="Q39" i="3"/>
  <c r="P57" i="2"/>
  <c r="R44" i="2"/>
  <c r="Q36" i="2"/>
  <c r="O11" i="2"/>
  <c r="O46" i="2"/>
  <c r="Q25" i="3"/>
  <c r="N32" i="3"/>
  <c r="S37" i="3"/>
  <c r="P53" i="3"/>
  <c r="M35" i="3"/>
  <c r="M45" i="2"/>
  <c r="M38" i="2"/>
  <c r="O25" i="2"/>
  <c r="M16" i="2"/>
  <c r="M50" i="2"/>
  <c r="N54" i="2"/>
  <c r="N55" i="2"/>
  <c r="P42" i="2"/>
  <c r="O34" i="2"/>
  <c r="Q55" i="2"/>
  <c r="M44" i="2"/>
  <c r="O23" i="3"/>
  <c r="O17" i="3"/>
  <c r="R28" i="3"/>
  <c r="N51" i="3"/>
  <c r="R32" i="3"/>
  <c r="S51" i="2"/>
  <c r="S44" i="2"/>
  <c r="N32" i="2"/>
  <c r="M24" i="2"/>
  <c r="S56" i="2"/>
  <c r="R33" i="2"/>
  <c r="M13" i="3"/>
  <c r="P50" i="3"/>
  <c r="Q53" i="3"/>
  <c r="S40" i="3"/>
  <c r="Q57" i="2"/>
  <c r="O57" i="2"/>
  <c r="M33" i="2"/>
  <c r="O47" i="3"/>
  <c r="S54" i="3"/>
  <c r="R20" i="3"/>
  <c r="S58" i="3"/>
  <c r="O29" i="3"/>
  <c r="S37" i="2"/>
  <c r="P30" i="2"/>
  <c r="N30" i="3"/>
  <c r="M40" i="3"/>
  <c r="P45" i="3"/>
  <c r="O46" i="3"/>
  <c r="O47" i="2"/>
  <c r="P18" i="2"/>
  <c r="N43" i="2"/>
  <c r="O15" i="3"/>
  <c r="M24" i="3"/>
  <c r="P29" i="3"/>
  <c r="P31" i="3"/>
  <c r="M16" i="3"/>
  <c r="P54" i="2"/>
  <c r="O43" i="2"/>
  <c r="P56" i="3"/>
  <c r="O49" i="3"/>
  <c r="N10" i="3"/>
  <c r="O21" i="3"/>
  <c r="M34" i="2"/>
  <c r="O13" i="2"/>
  <c r="M40" i="2"/>
  <c r="R49" i="2"/>
  <c r="R43" i="3"/>
  <c r="O51" i="3"/>
  <c r="R56" i="3"/>
  <c r="M28" i="3"/>
  <c r="O36" i="3"/>
  <c r="M47" i="2"/>
  <c r="R22" i="2"/>
  <c r="N38" i="3"/>
  <c r="R45" i="3"/>
  <c r="O52" i="3"/>
  <c r="M52" i="3"/>
  <c r="O24" i="3"/>
  <c r="O16" i="2"/>
  <c r="P52" i="2"/>
  <c r="M12" i="2"/>
  <c r="O57" i="3"/>
  <c r="S15" i="3"/>
  <c r="N28" i="3"/>
  <c r="M22" i="2"/>
  <c r="M21" i="3"/>
  <c r="O55" i="2"/>
  <c r="O48" i="2"/>
  <c r="Q35" i="2"/>
  <c r="P27" i="2"/>
  <c r="Q15" i="2"/>
  <c r="N37" i="2"/>
  <c r="P16" i="3"/>
  <c r="S53" i="3"/>
  <c r="M57" i="3"/>
  <c r="O44" i="3"/>
  <c r="S25" i="3"/>
  <c r="S35" i="2"/>
  <c r="S28" i="2"/>
  <c r="N16" i="2"/>
  <c r="R40" i="2"/>
  <c r="S40" i="2"/>
  <c r="M53" i="2"/>
  <c r="M46" i="2"/>
  <c r="O33" i="2"/>
  <c r="N25" i="2"/>
  <c r="M58" i="2"/>
  <c r="S34" i="2"/>
  <c r="N14" i="3"/>
  <c r="Q51" i="3"/>
  <c r="R54" i="3"/>
  <c r="M42" i="3"/>
  <c r="Q23" i="3"/>
  <c r="R42" i="2"/>
  <c r="R35" i="2"/>
  <c r="M23" i="2"/>
  <c r="P20" i="2"/>
  <c r="R47" i="2"/>
  <c r="Q24" i="2"/>
  <c r="Q10" i="3"/>
  <c r="M56" i="3"/>
  <c r="P44" i="3"/>
  <c r="S59" i="2"/>
  <c r="P56" i="2"/>
  <c r="M39" i="2"/>
  <c r="P38" i="2"/>
  <c r="Q33" i="3"/>
  <c r="O42" i="3"/>
  <c r="Q46" i="3"/>
  <c r="P47" i="3"/>
  <c r="P48" i="2"/>
  <c r="Q19" i="2"/>
  <c r="O44" i="2"/>
  <c r="Q17" i="3"/>
  <c r="N25" i="3"/>
  <c r="Q30" i="3"/>
  <c r="R33" i="3"/>
  <c r="M21" i="2"/>
  <c r="M43" i="2"/>
  <c r="S24" i="2"/>
  <c r="Q19" i="3"/>
  <c r="M19" i="3"/>
  <c r="M18" i="3"/>
  <c r="M20" i="3"/>
  <c r="Q22" i="3"/>
  <c r="O49" i="2"/>
  <c r="M25" i="2"/>
  <c r="R42" i="3"/>
  <c r="P51" i="3"/>
  <c r="R55" i="3"/>
  <c r="P55" i="3"/>
  <c r="S51" i="3"/>
  <c r="Q42" i="2"/>
  <c r="R21" i="2"/>
  <c r="P31" i="2"/>
  <c r="R27" i="3"/>
  <c r="Q37" i="3"/>
  <c r="O45" i="3"/>
  <c r="R10" i="2"/>
  <c r="R49" i="3"/>
  <c r="R28" i="2"/>
  <c r="P53" i="2"/>
  <c r="P24" i="3"/>
  <c r="N33" i="3"/>
  <c r="P37" i="3"/>
  <c r="P39" i="3"/>
  <c r="N16" i="3"/>
  <c r="P58" i="2"/>
  <c r="N34" i="2"/>
  <c r="P48" i="3"/>
  <c r="O58" i="3"/>
  <c r="O41" i="3"/>
  <c r="P26" i="3"/>
  <c r="N46" i="2"/>
  <c r="N39" i="2"/>
  <c r="P26" i="2"/>
  <c r="O18" i="2"/>
  <c r="N51" i="2"/>
  <c r="M28" i="2"/>
  <c r="Q18" i="3"/>
  <c r="P59" i="3"/>
  <c r="S47" i="3"/>
  <c r="N35" i="3"/>
  <c r="N40" i="3"/>
  <c r="R26" i="2"/>
  <c r="R19" i="2"/>
  <c r="O10" i="2"/>
  <c r="S55" i="2"/>
  <c r="R31" i="2"/>
  <c r="S43" i="2"/>
  <c r="S36" i="2"/>
  <c r="N24" i="2"/>
  <c r="Q12" i="2"/>
  <c r="S48" i="2"/>
  <c r="R25" i="2"/>
  <c r="S12" i="3"/>
  <c r="N57" i="3"/>
  <c r="Q45" i="3"/>
  <c r="S32" i="3"/>
  <c r="S13" i="3"/>
  <c r="Q33" i="2"/>
  <c r="Q26" i="2"/>
  <c r="S13" i="2"/>
  <c r="M27" i="2"/>
  <c r="Q38" i="2"/>
  <c r="P15" i="2"/>
  <c r="O56" i="3"/>
  <c r="S46" i="3"/>
  <c r="O35" i="3"/>
  <c r="R58" i="2"/>
  <c r="R50" i="2"/>
  <c r="R20" i="2"/>
  <c r="P45" i="2"/>
  <c r="R18" i="3"/>
  <c r="O26" i="3"/>
  <c r="R31" i="3"/>
  <c r="O22" i="3"/>
  <c r="O23" i="2"/>
  <c r="S49" i="2"/>
  <c r="M26" i="2"/>
  <c r="Q27" i="3"/>
  <c r="N11" i="3"/>
  <c r="N19" i="3"/>
  <c r="N21" i="3"/>
  <c r="R56" i="2"/>
  <c r="S46" i="2"/>
  <c r="Q56" i="2"/>
  <c r="M46" i="3"/>
  <c r="S55" i="3"/>
  <c r="M59" i="3"/>
  <c r="M10" i="3"/>
  <c r="O38" i="3"/>
  <c r="M31" i="2"/>
  <c r="R55" i="2"/>
  <c r="S27" i="3"/>
  <c r="P35" i="3"/>
  <c r="R39" i="3"/>
  <c r="S42" i="3"/>
  <c r="O40" i="3"/>
  <c r="O24" i="2"/>
  <c r="N12" i="2"/>
  <c r="R17" i="2"/>
  <c r="Q35" i="3"/>
  <c r="R22" i="3"/>
  <c r="Q31" i="3"/>
  <c r="M56" i="2"/>
  <c r="N38" i="2"/>
  <c r="P10" i="2"/>
  <c r="N35" i="2"/>
  <c r="P25" i="3"/>
  <c r="N17" i="3"/>
  <c r="S24" i="3"/>
  <c r="P15" i="3"/>
  <c r="S10" i="3"/>
  <c r="N40" i="2"/>
  <c r="O45" i="2"/>
  <c r="S35" i="3"/>
  <c r="P43" i="3"/>
  <c r="R47" i="3"/>
  <c r="Q48" i="3"/>
  <c r="S30" i="3"/>
  <c r="M37" i="2"/>
  <c r="M30" i="2"/>
  <c r="O17" i="2"/>
  <c r="P46" i="2"/>
  <c r="M42" i="2"/>
  <c r="S18" i="2"/>
  <c r="R59" i="3"/>
  <c r="O50" i="3"/>
  <c r="R38" i="3"/>
  <c r="M26" i="3"/>
  <c r="N53" i="3"/>
  <c r="Q17" i="2"/>
  <c r="S15" i="2"/>
  <c r="Q31" i="2"/>
  <c r="R46" i="2"/>
  <c r="Q22" i="2"/>
  <c r="R34" i="2"/>
  <c r="R27" i="2"/>
  <c r="M15" i="2"/>
  <c r="S33" i="2"/>
  <c r="R39" i="2"/>
  <c r="Q16" i="2"/>
  <c r="P57" i="3"/>
  <c r="M48" i="3"/>
  <c r="P36" i="3"/>
  <c r="R23" i="3"/>
  <c r="S50" i="3"/>
  <c r="P24" i="2"/>
  <c r="P17" i="2"/>
  <c r="P12" i="2"/>
  <c r="Q53" i="2"/>
  <c r="P29" i="2"/>
  <c r="R58" i="3"/>
  <c r="N47" i="3"/>
  <c r="R37" i="3"/>
  <c r="N26" i="3"/>
  <c r="Q49" i="2"/>
  <c r="M29" i="2"/>
  <c r="M59" i="2"/>
  <c r="N27" i="2"/>
  <c r="Q43" i="3"/>
  <c r="Q12" i="3"/>
  <c r="O20" i="3"/>
  <c r="M15" i="3"/>
  <c r="S16" i="2"/>
  <c r="M48" i="2"/>
  <c r="R57" i="2"/>
  <c r="P49" i="3"/>
  <c r="N58" i="3"/>
  <c r="O25" i="3"/>
  <c r="R32" i="2"/>
  <c r="P49" i="2"/>
  <c r="Q28" i="2"/>
  <c r="O38" i="2"/>
  <c r="P33" i="3"/>
  <c r="M41" i="3"/>
  <c r="Q47" i="3"/>
  <c r="P32" i="2"/>
  <c r="Q41" i="2"/>
  <c r="R12" i="2"/>
  <c r="P37" i="2"/>
  <c r="S11" i="3"/>
  <c r="R21" i="3"/>
  <c r="O28" i="3"/>
  <c r="O30" i="3"/>
  <c r="M49" i="3"/>
  <c r="Q47" i="2"/>
  <c r="N42" i="2"/>
  <c r="O55" i="3"/>
  <c r="N48" i="3"/>
  <c r="R16" i="3"/>
  <c r="N20" i="3"/>
  <c r="S39" i="2"/>
  <c r="S11" i="2"/>
  <c r="N57" i="2"/>
  <c r="S57" i="2"/>
  <c r="N55" i="3"/>
  <c r="P34" i="3"/>
  <c r="N12" i="3"/>
  <c r="Q58" i="2"/>
  <c r="P42" i="3"/>
  <c r="S21" i="2"/>
  <c r="Q46" i="2"/>
  <c r="S19" i="3"/>
  <c r="P27" i="3"/>
  <c r="M34" i="3"/>
  <c r="N37" i="3"/>
  <c r="S48" i="3"/>
  <c r="S27" i="2"/>
  <c r="S20" i="2"/>
  <c r="S14" i="2"/>
  <c r="M57" i="2"/>
  <c r="S32" i="2"/>
  <c r="R16" i="2"/>
  <c r="Q50" i="3"/>
  <c r="N41" i="3"/>
  <c r="Q29" i="3"/>
  <c r="S16" i="3"/>
  <c r="M44" i="3"/>
  <c r="R11" i="2"/>
  <c r="N20" i="2"/>
  <c r="R53" i="2"/>
  <c r="Q37" i="2"/>
  <c r="N36" i="2"/>
  <c r="Q25" i="2"/>
  <c r="Q18" i="2"/>
  <c r="N18" i="2"/>
  <c r="R54" i="2"/>
  <c r="Q30" i="2"/>
  <c r="S59" i="3"/>
  <c r="O48" i="3"/>
  <c r="S38" i="3"/>
  <c r="O27" i="3"/>
  <c r="P13" i="3"/>
  <c r="R41" i="3"/>
  <c r="O15" i="2"/>
  <c r="P13" i="2"/>
  <c r="S17" i="2"/>
  <c r="P44" i="2"/>
  <c r="O20" i="2"/>
  <c r="Q49" i="3"/>
  <c r="M38" i="3"/>
  <c r="Q28" i="3"/>
  <c r="M17" i="3"/>
  <c r="P40" i="2"/>
  <c r="Q13" i="2"/>
  <c r="N49" i="2"/>
  <c r="S58" i="2"/>
  <c r="R51" i="3"/>
  <c r="O59" i="3"/>
  <c r="R36" i="3"/>
  <c r="S45" i="2"/>
  <c r="Q50" i="2"/>
  <c r="R29" i="2"/>
  <c r="P39" i="2"/>
  <c r="Q34" i="3"/>
  <c r="N42" i="3"/>
  <c r="R48" i="3"/>
  <c r="N13" i="2"/>
  <c r="N31" i="2"/>
  <c r="O53" i="2"/>
  <c r="N21" i="2"/>
  <c r="R11" i="3"/>
  <c r="M25" i="3"/>
  <c r="N36" i="3"/>
  <c r="R37" i="2"/>
  <c r="S19" i="2"/>
  <c r="P59" i="2"/>
  <c r="N19" i="2"/>
  <c r="Q11" i="3"/>
  <c r="P14" i="3"/>
  <c r="Q14" i="3"/>
  <c r="S18" i="3"/>
  <c r="P54" i="3"/>
  <c r="N48" i="2"/>
  <c r="S23" i="2"/>
  <c r="O39" i="3"/>
  <c r="N49" i="3"/>
  <c r="Q54" i="3"/>
  <c r="O54" i="3"/>
  <c r="R48" i="2"/>
  <c r="R59" i="2"/>
  <c r="S38" i="2"/>
  <c r="Q48" i="2"/>
  <c r="Q42" i="3"/>
  <c r="N50" i="3"/>
  <c r="Q55" i="3"/>
  <c r="N17" i="2"/>
  <c r="N30" i="2"/>
  <c r="R15" i="2"/>
  <c r="O28" i="2"/>
  <c r="N15" i="3"/>
  <c r="S14" i="3"/>
  <c r="P21" i="3"/>
  <c r="Q24" i="3"/>
  <c r="M11" i="3"/>
  <c r="R18" i="2"/>
  <c r="Q21" i="2"/>
  <c r="O37" i="2"/>
  <c r="S47" i="2"/>
  <c r="R23" i="2"/>
  <c r="M53" i="3"/>
  <c r="P41" i="3"/>
  <c r="M32" i="3"/>
  <c r="P20" i="3"/>
  <c r="M31" i="3"/>
  <c r="S34" i="3"/>
  <c r="N44" i="2"/>
  <c r="R52" i="2"/>
  <c r="Q44" i="2"/>
  <c r="P28" i="2"/>
  <c r="O54" i="2"/>
  <c r="P16" i="2"/>
  <c r="N10" i="2"/>
  <c r="R24" i="2"/>
  <c r="Q45" i="2"/>
  <c r="P21" i="2"/>
  <c r="R50" i="3"/>
  <c r="N39" i="3"/>
  <c r="R29" i="3"/>
  <c r="N18" i="3"/>
  <c r="P18" i="3"/>
  <c r="Q32" i="3"/>
  <c r="P11" i="2"/>
  <c r="Q59" i="2"/>
  <c r="P51" i="2"/>
  <c r="O35" i="2"/>
  <c r="P22" i="2"/>
  <c r="P40" i="3"/>
  <c r="S28" i="3"/>
  <c r="P19" i="3"/>
  <c r="O12" i="3"/>
  <c r="O31" i="2"/>
  <c r="R51" i="2"/>
  <c r="S30" i="2"/>
  <c r="Q40" i="2"/>
  <c r="R35" i="3"/>
  <c r="O43" i="3"/>
  <c r="S49" i="3"/>
  <c r="N29" i="2"/>
  <c r="O32" i="2"/>
  <c r="N11" i="2"/>
  <c r="O22" i="2"/>
  <c r="M14" i="3"/>
  <c r="P28" i="3"/>
  <c r="O37" i="3"/>
  <c r="S45" i="3"/>
  <c r="R13" i="2"/>
  <c r="M49" i="2"/>
  <c r="Q57" i="3"/>
  <c r="R52" i="3"/>
  <c r="P12" i="3"/>
  <c r="P22" i="3"/>
  <c r="M17" i="2"/>
  <c r="O21" i="2"/>
  <c r="N41" i="2"/>
  <c r="S50" i="2"/>
  <c r="S44" i="3"/>
  <c r="P52" i="3"/>
  <c r="S57" i="3"/>
  <c r="O40" i="2"/>
  <c r="S26" i="3"/>
  <c r="S29" i="2"/>
  <c r="Q54" i="2"/>
  <c r="R26" i="3"/>
  <c r="O34" i="3"/>
  <c r="Q38" i="3"/>
  <c r="Q40" i="3"/>
  <c r="S20" i="3"/>
  <c r="P41" i="2"/>
  <c r="Q20" i="2"/>
  <c r="O30" i="2"/>
  <c r="Q26" i="3"/>
  <c r="N34" i="3"/>
  <c r="M43" i="3"/>
  <c r="N58" i="2"/>
  <c r="O19" i="2"/>
  <c r="O50" i="2"/>
  <c r="P14" i="2"/>
  <c r="S52" i="3"/>
  <c r="P10" i="3"/>
  <c r="M39" i="3"/>
  <c r="O33" i="3"/>
  <c r="O8" i="3" l="1"/>
  <c r="L11" i="3"/>
  <c r="T10" i="3"/>
  <c r="P8" i="3" l="1"/>
  <c r="L12" i="3"/>
  <c r="T11" i="3"/>
  <c r="L8" i="2"/>
  <c r="T8" i="2"/>
  <c r="L11" i="2"/>
  <c r="Q8" i="3" l="1"/>
  <c r="T12" i="3"/>
  <c r="L13" i="3"/>
  <c r="T10" i="2"/>
  <c r="L12" i="2"/>
  <c r="T11" i="2"/>
  <c r="R8" i="3" l="1"/>
  <c r="T13" i="3"/>
  <c r="L14" i="3"/>
  <c r="T12" i="2"/>
  <c r="L13" i="2"/>
  <c r="S8" i="3" l="1"/>
  <c r="L15" i="3"/>
  <c r="T14" i="3"/>
  <c r="L14" i="2"/>
  <c r="T13" i="2"/>
  <c r="L16" i="3" l="1"/>
  <c r="T15" i="3"/>
  <c r="T14" i="2"/>
  <c r="L15" i="2"/>
  <c r="T16" i="3" l="1"/>
  <c r="L17" i="3"/>
  <c r="L16" i="2"/>
  <c r="T15" i="2"/>
  <c r="L18" i="3" l="1"/>
  <c r="T17" i="3"/>
  <c r="T16" i="2"/>
  <c r="L17" i="2"/>
  <c r="L19" i="3" l="1"/>
  <c r="T18" i="3"/>
  <c r="L18" i="2"/>
  <c r="T17" i="2"/>
  <c r="L20" i="3" l="1"/>
  <c r="T19" i="3"/>
  <c r="T18" i="2"/>
  <c r="L19" i="2"/>
  <c r="T20" i="3" l="1"/>
  <c r="L21" i="3"/>
  <c r="L20" i="2"/>
  <c r="T19" i="2"/>
  <c r="T21" i="3" l="1"/>
  <c r="L22" i="3"/>
  <c r="T20" i="2"/>
  <c r="L21" i="2"/>
  <c r="L23" i="3" l="1"/>
  <c r="T22" i="3"/>
  <c r="L22" i="2"/>
  <c r="T21" i="2"/>
  <c r="L24" i="3" l="1"/>
  <c r="T23" i="3"/>
  <c r="T22" i="2"/>
  <c r="L23" i="2"/>
  <c r="T24" i="3" l="1"/>
  <c r="L25" i="3"/>
  <c r="L24" i="2"/>
  <c r="T23" i="2"/>
  <c r="L26" i="3" l="1"/>
  <c r="T25" i="3"/>
  <c r="T24" i="2"/>
  <c r="L25" i="2"/>
  <c r="L27" i="3" l="1"/>
  <c r="T26" i="3"/>
  <c r="L26" i="2"/>
  <c r="T25" i="2"/>
  <c r="L28" i="3" l="1"/>
  <c r="T27" i="3"/>
  <c r="T26" i="2"/>
  <c r="L27" i="2"/>
  <c r="T28" i="3" l="1"/>
  <c r="L29" i="3"/>
  <c r="L28" i="2"/>
  <c r="T27" i="2"/>
  <c r="T29" i="3" l="1"/>
  <c r="L30" i="3"/>
  <c r="T28" i="2"/>
  <c r="L29" i="2"/>
  <c r="L31" i="3" l="1"/>
  <c r="T30" i="3"/>
  <c r="L30" i="2"/>
  <c r="T29" i="2"/>
  <c r="L32" i="3" l="1"/>
  <c r="T31" i="3"/>
  <c r="T30" i="2"/>
  <c r="L31" i="2"/>
  <c r="T32" i="3" l="1"/>
  <c r="L33" i="3"/>
  <c r="L32" i="2"/>
  <c r="T31" i="2"/>
  <c r="L34" i="3" l="1"/>
  <c r="T33" i="3"/>
  <c r="L33" i="2"/>
  <c r="T32" i="2"/>
  <c r="L35" i="3" l="1"/>
  <c r="T34" i="3"/>
  <c r="T33" i="2"/>
  <c r="L34" i="2"/>
  <c r="L36" i="3" l="1"/>
  <c r="T35" i="3"/>
  <c r="L35" i="2"/>
  <c r="T34" i="2"/>
  <c r="T36" i="3" l="1"/>
  <c r="L37" i="3"/>
  <c r="T35" i="2"/>
  <c r="L36" i="2"/>
  <c r="T37" i="3" l="1"/>
  <c r="L38" i="3"/>
  <c r="L37" i="2"/>
  <c r="T36" i="2"/>
  <c r="L39" i="3" l="1"/>
  <c r="T38" i="3"/>
  <c r="T37" i="2"/>
  <c r="L38" i="2"/>
  <c r="L40" i="3" l="1"/>
  <c r="T39" i="3"/>
  <c r="T38" i="2"/>
  <c r="L39" i="2"/>
  <c r="T40" i="3" l="1"/>
  <c r="L41" i="3"/>
  <c r="T39" i="2"/>
  <c r="L40" i="2"/>
  <c r="L42" i="3" l="1"/>
  <c r="T41" i="3"/>
  <c r="L41" i="2"/>
  <c r="T40" i="2"/>
  <c r="L43" i="3" l="1"/>
  <c r="T42" i="3"/>
  <c r="T41" i="2"/>
  <c r="L42" i="2"/>
  <c r="L44" i="3" l="1"/>
  <c r="T43" i="3"/>
  <c r="T42" i="2"/>
  <c r="L43" i="2"/>
  <c r="T44" i="3" l="1"/>
  <c r="L45" i="3"/>
  <c r="T43" i="2"/>
  <c r="L44" i="2"/>
  <c r="T45" i="3" l="1"/>
  <c r="L46" i="3"/>
  <c r="L45" i="2"/>
  <c r="T44" i="2"/>
  <c r="L47" i="3" l="1"/>
  <c r="T46" i="3"/>
  <c r="T45" i="2"/>
  <c r="L46" i="2"/>
  <c r="L48" i="3" l="1"/>
  <c r="T47" i="3"/>
  <c r="T46" i="2"/>
  <c r="L47" i="2"/>
  <c r="T48" i="3" l="1"/>
  <c r="L49" i="3"/>
  <c r="L48" i="2"/>
  <c r="T47" i="2"/>
  <c r="L50" i="3" l="1"/>
  <c r="T49" i="3"/>
  <c r="L49" i="2"/>
  <c r="T48" i="2"/>
  <c r="L51" i="3" l="1"/>
  <c r="T50" i="3"/>
  <c r="T49" i="2"/>
  <c r="L50" i="2"/>
  <c r="L52" i="3" l="1"/>
  <c r="T51" i="3"/>
  <c r="L51" i="2"/>
  <c r="T50" i="2"/>
  <c r="T52" i="3" l="1"/>
  <c r="L53" i="3"/>
  <c r="L52" i="2"/>
  <c r="T51" i="2"/>
  <c r="T53" i="3" l="1"/>
  <c r="L54" i="3"/>
  <c r="L53" i="2"/>
  <c r="T52" i="2"/>
  <c r="L55" i="3" l="1"/>
  <c r="T54" i="3"/>
  <c r="T53" i="2"/>
  <c r="L54" i="2"/>
  <c r="L56" i="3" l="1"/>
  <c r="T55" i="3"/>
  <c r="T54" i="2"/>
  <c r="L55" i="2"/>
  <c r="T56" i="3" l="1"/>
  <c r="L57" i="3"/>
  <c r="L56" i="2"/>
  <c r="T55" i="2"/>
  <c r="L58" i="3" l="1"/>
  <c r="T57" i="3"/>
  <c r="T56" i="2"/>
  <c r="L57" i="2"/>
  <c r="L59" i="3" l="1"/>
  <c r="T58" i="3"/>
  <c r="L58" i="2"/>
  <c r="T57" i="2"/>
  <c r="T59" i="3" l="1"/>
  <c r="T58" i="2"/>
  <c r="L59" i="2"/>
  <c r="T59" i="2" l="1"/>
  <c r="N8" i="2" l="1"/>
  <c r="O8" i="2" l="1"/>
  <c r="P8" i="2" l="1"/>
  <c r="Q8" i="2" l="1"/>
  <c r="R8" i="2" l="1"/>
  <c r="S8" i="2" l="1"/>
</calcChain>
</file>

<file path=xl/sharedStrings.xml><?xml version="1.0" encoding="utf-8"?>
<sst xmlns="http://schemas.openxmlformats.org/spreadsheetml/2006/main" count="155" uniqueCount="75">
  <si>
    <t>Commodity</t>
  </si>
  <si>
    <t>Increment</t>
  </si>
  <si>
    <t>Value</t>
  </si>
  <si>
    <t>Unit</t>
  </si>
  <si>
    <t>Property</t>
  </si>
  <si>
    <t>Table No</t>
  </si>
  <si>
    <t>API Gravity Correction to 60°F for Generalized Crude Oils</t>
  </si>
  <si>
    <t>Table 5A</t>
  </si>
  <si>
    <t>API Gravity Correction to 60°F for Generalized Products</t>
  </si>
  <si>
    <t>Table 5B</t>
  </si>
  <si>
    <t>API Gravity Correction to 60°F for Generalized Lubricating Oils</t>
  </si>
  <si>
    <t>Table 5D</t>
  </si>
  <si>
    <t>Correction of Volume to 60°F Against API Gravity at 60°F for Generalized Crude Oils</t>
  </si>
  <si>
    <t>Table 6A</t>
  </si>
  <si>
    <t>Table 6B</t>
  </si>
  <si>
    <t>Correction of Volume to 60°F Against API Gravity at 60°F for Refined Products</t>
  </si>
  <si>
    <t>Table 6D</t>
  </si>
  <si>
    <t>Correction of Volume to 60°F Against API Gravity at 60°F for Generalized Lubricating Oils</t>
  </si>
  <si>
    <t>Correction of Observed Specific Gravity to Specific Gravity 60/60°F for Generalized Crude Oils</t>
  </si>
  <si>
    <t>Table 23A</t>
  </si>
  <si>
    <t>Correction of Observed Specific Gravity to Specific Gravity 60/60°F for Generalized Products</t>
  </si>
  <si>
    <t>Table 23B</t>
  </si>
  <si>
    <t>Table 23D</t>
  </si>
  <si>
    <t>Table 24B</t>
  </si>
  <si>
    <t>Correction of Volume to 60°F Against Specific Gravity 60/60°F for Generalized Crude Oils</t>
  </si>
  <si>
    <t>Correction of Volume to 60°F Against Specific Gravity 60/60°F for Generalized Products</t>
  </si>
  <si>
    <t>Correction of Observed Specific Gravity to Specific Gravity 60/60°F for Lube Oils</t>
  </si>
  <si>
    <t>Density start</t>
  </si>
  <si>
    <t>Temp Start</t>
  </si>
  <si>
    <t>Table 24A</t>
  </si>
  <si>
    <t>Table 24D</t>
  </si>
  <si>
    <t>Precision</t>
  </si>
  <si>
    <t>Correction of Volume to 60°F Against Specific Gravity 60/60°F for Generalized Lube Oils</t>
  </si>
  <si>
    <t>Table 53A</t>
  </si>
  <si>
    <t>Correction of Observed Density to Density at 15°C for Generalized Products</t>
  </si>
  <si>
    <t>Table 53B</t>
  </si>
  <si>
    <t>Table 53D</t>
  </si>
  <si>
    <t>Correction of Observed Density to Density at 15°C for Generalized Crude Oils</t>
  </si>
  <si>
    <t>Correction of Observed Density to Density at 15°C for Generalized Lubricating Oils</t>
  </si>
  <si>
    <t>Table 54B</t>
  </si>
  <si>
    <t>Table 54D</t>
  </si>
  <si>
    <t>Correction of Volume to 15°C Against Density at 15°C for Generalized Crude Oils</t>
  </si>
  <si>
    <t>Correction of Volume to 15°C Against Density at 15°C for Generalized Products</t>
  </si>
  <si>
    <t>Correction of Volume to 15°C Against Density at 15°C for Generalized Lubricating Oils</t>
  </si>
  <si>
    <t>Table 54A</t>
  </si>
  <si>
    <t>Table 59A</t>
  </si>
  <si>
    <t>Table 59B</t>
  </si>
  <si>
    <t>Table 59D</t>
  </si>
  <si>
    <t>Table 60A</t>
  </si>
  <si>
    <t xml:space="preserve">Correction of Observed Density to Density at 20°C for Generalized Crude Oils </t>
  </si>
  <si>
    <t>Correction of Observed Density to Density at 20°C for Generalized Products</t>
  </si>
  <si>
    <t>Correction of Observed Density to Density at 20°C for Generalized Lubricating Oils</t>
  </si>
  <si>
    <t>Correction of Volume to 20°C Against Density at 20°C for Generalized Crude Oils</t>
  </si>
  <si>
    <t>Correction of Volume to 20°C Against Density at 20°C for Generalized Products</t>
  </si>
  <si>
    <t>Correction of Volume to 20°C Against Density at 20°C for Generalized Lubricating Oils</t>
  </si>
  <si>
    <t>Table 60B</t>
  </si>
  <si>
    <t>Table 60D</t>
  </si>
  <si>
    <t>1984 Chapter 11.2.1</t>
  </si>
  <si>
    <t>Compressibility Factor Table - Compressibility Factors for Hydrocarbons Related to API Gravity and Metering Temperature</t>
  </si>
  <si>
    <t>1984 Chapter 11.2.1M</t>
  </si>
  <si>
    <t>1980 Historical Measurement Tables</t>
  </si>
  <si>
    <t>Compressibility Factors for Hydrocarbons Related to API Gravity and Metering Temperature (Verified)</t>
  </si>
  <si>
    <t>API</t>
  </si>
  <si>
    <t>°F</t>
  </si>
  <si>
    <t>Observed Density, API</t>
  </si>
  <si>
    <t>Corresponding Density at 60°F &amp; 0 psig, API</t>
  </si>
  <si>
    <t>Revision:</t>
  </si>
  <si>
    <t>API MPM 11.1 Measurement Tables 1984</t>
  </si>
  <si>
    <t>API MPM 11.1 Measurement Tables 2004</t>
  </si>
  <si>
    <t>API MPM 11.1 2004 Measurement Tables</t>
  </si>
  <si>
    <t>Base API Density</t>
  </si>
  <si>
    <t>Crude Oil</t>
  </si>
  <si>
    <t>F0</t>
  </si>
  <si>
    <t>Workbook 3:</t>
  </si>
  <si>
    <t>workbook 3: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</si>
</sst>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"/>
    <numFmt numFmtId="165" formatCode="0.0"/>
  </numFmts>
  <fonts count="17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sz val="10"/>
      <color theme="1"/>
      <name val="Calibri Light"/>
      <family val="2"/>
    </font>
    <font>
      <sz val="10"/>
      <color theme="0"/>
      <name val="Calibri"/>
      <family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Calibri Light"/>
      <family val="2"/>
      <charset val="238"/>
    </font>
    <font>
      <b/>
      <sz val="10"/>
      <color theme="1"/>
      <name val="Calibri Light"/>
      <family val="2"/>
      <charset val="238"/>
    </font>
    <font>
      <sz val="10"/>
      <color theme="1"/>
      <name val="Calibri Light"/>
      <family val="2"/>
      <charset val="238"/>
    </font>
    <font>
      <b/>
      <sz val="10"/>
      <color rgb="FF002060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0"/>
      <color rgb="FF002060"/>
      <name val="Calibri Light"/>
      <family val="2"/>
      <charset val="238"/>
    </font>
    <font>
      <b/>
      <sz val="10"/>
      <color rgb="FF00B050"/>
      <name val="Calibri Light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/>
      <right style="thin">
        <color rgb="FF002060"/>
      </right>
      <top/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/>
      <right/>
      <top/>
      <bottom style="thin">
        <color auto="1"/>
      </bottom>
      <diagonal/>
    </border>
    <border>
      <left style="thin">
        <color rgb="FF002060"/>
      </left>
      <right/>
      <top/>
      <bottom style="thin">
        <color rgb="FF002060"/>
      </bottom>
      <diagonal/>
    </border>
    <border>
      <left/>
      <right style="thin">
        <color rgb="FF002060"/>
      </right>
      <top/>
      <bottom/>
      <diagonal/>
    </border>
    <border>
      <left style="thin">
        <color rgb="FF002060"/>
      </left>
      <right/>
      <top/>
      <bottom/>
      <diagonal/>
    </border>
    <border>
      <left/>
      <right style="thin">
        <color rgb="FF002060"/>
      </right>
      <top style="thin">
        <color rgb="FF002060"/>
      </top>
      <bottom/>
      <diagonal/>
    </border>
    <border>
      <left/>
      <right/>
      <top style="thin">
        <color rgb="FF002060"/>
      </top>
      <bottom/>
      <diagonal/>
    </border>
    <border>
      <left style="thin">
        <color rgb="FF002060"/>
      </left>
      <right/>
      <top style="thin">
        <color rgb="FF002060"/>
      </top>
      <bottom/>
      <diagonal/>
    </border>
    <border>
      <left style="thin">
        <color rgb="FF002060"/>
      </left>
      <right style="thin">
        <color rgb="FF002060"/>
      </right>
      <top style="medium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medium">
        <color rgb="FF002060"/>
      </top>
      <bottom style="thin">
        <color rgb="FF002060"/>
      </bottom>
      <diagonal/>
    </border>
    <border>
      <left/>
      <right/>
      <top style="medium">
        <color rgb="FF002060"/>
      </top>
      <bottom style="thin">
        <color rgb="FF002060"/>
      </bottom>
      <diagonal/>
    </border>
    <border>
      <left/>
      <right style="medium">
        <color rgb="FF002060"/>
      </right>
      <top style="medium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/>
      <right style="medium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thin">
        <color rgb="FF002060"/>
      </left>
      <right/>
      <top style="medium">
        <color rgb="FF002060"/>
      </top>
      <bottom/>
      <diagonal/>
    </border>
    <border>
      <left/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/>
      <bottom style="medium">
        <color rgb="FF002060"/>
      </bottom>
      <diagonal/>
    </border>
    <border>
      <left/>
      <right style="thin">
        <color rgb="FF002060"/>
      </right>
      <top/>
      <bottom style="medium">
        <color rgb="FF002060"/>
      </bottom>
      <diagonal/>
    </border>
    <border>
      <left/>
      <right/>
      <top/>
      <bottom style="medium">
        <color rgb="FF00304E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4" fillId="0" borderId="1" xfId="0" applyFont="1" applyFill="1" applyBorder="1"/>
    <xf numFmtId="0" fontId="2" fillId="0" borderId="2" xfId="0" applyFont="1" applyFill="1" applyBorder="1"/>
    <xf numFmtId="0" fontId="4" fillId="0" borderId="5" xfId="0" applyFont="1" applyBorder="1"/>
    <xf numFmtId="0" fontId="2" fillId="0" borderId="0" xfId="0" applyFont="1" applyBorder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6" xfId="0" applyFont="1" applyBorder="1"/>
    <xf numFmtId="0" fontId="4" fillId="0" borderId="0" xfId="0" applyFont="1" applyBorder="1"/>
    <xf numFmtId="0" fontId="4" fillId="0" borderId="2" xfId="0" applyFont="1" applyFill="1" applyBorder="1"/>
    <xf numFmtId="0" fontId="0" fillId="2" borderId="7" xfId="0" applyFont="1" applyFill="1" applyBorder="1" applyAlignment="1"/>
    <xf numFmtId="0" fontId="3" fillId="0" borderId="11" xfId="0" applyFont="1" applyFill="1" applyBorder="1"/>
    <xf numFmtId="0" fontId="2" fillId="0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Font="1" applyFill="1"/>
    <xf numFmtId="0" fontId="5" fillId="0" borderId="19" xfId="0" applyFont="1" applyBorder="1" applyAlignment="1">
      <alignment horizontal="left"/>
    </xf>
    <xf numFmtId="0" fontId="5" fillId="0" borderId="20" xfId="0" applyFont="1" applyBorder="1" applyAlignment="1">
      <alignment horizontal="left"/>
    </xf>
    <xf numFmtId="0" fontId="0" fillId="0" borderId="21" xfId="0" applyBorder="1"/>
    <xf numFmtId="0" fontId="0" fillId="0" borderId="0" xfId="0" applyBorder="1"/>
    <xf numFmtId="0" fontId="0" fillId="0" borderId="0" xfId="0" applyFill="1" applyBorder="1"/>
    <xf numFmtId="0" fontId="0" fillId="0" borderId="22" xfId="0" applyBorder="1"/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7" fillId="0" borderId="19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2" fillId="0" borderId="0" xfId="0" applyNumberFormat="1" applyFont="1" applyBorder="1" applyAlignment="1">
      <alignment horizontal="center"/>
    </xf>
    <xf numFmtId="2" fontId="1" fillId="0" borderId="21" xfId="0" applyNumberFormat="1" applyFont="1" applyBorder="1" applyAlignment="1">
      <alignment horizontal="center"/>
    </xf>
    <xf numFmtId="2" fontId="1" fillId="0" borderId="23" xfId="0" applyNumberFormat="1" applyFont="1" applyBorder="1" applyAlignment="1">
      <alignment horizontal="center"/>
    </xf>
    <xf numFmtId="2" fontId="1" fillId="0" borderId="22" xfId="0" applyNumberFormat="1" applyFont="1" applyBorder="1" applyAlignment="1">
      <alignment horizontal="center"/>
    </xf>
    <xf numFmtId="2" fontId="1" fillId="0" borderId="24" xfId="0" applyNumberFormat="1" applyFont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5" fillId="0" borderId="18" xfId="0" applyFont="1" applyBorder="1" applyAlignment="1">
      <alignment horizontal="center"/>
    </xf>
    <xf numFmtId="0" fontId="3" fillId="0" borderId="0" xfId="0" applyFont="1" applyFill="1" applyAlignment="1">
      <alignment horizontal="left"/>
    </xf>
    <xf numFmtId="0" fontId="3" fillId="0" borderId="0" xfId="0" applyFont="1" applyFill="1" applyBorder="1"/>
    <xf numFmtId="0" fontId="3" fillId="0" borderId="0" xfId="0" applyFont="1" applyFill="1" applyBorder="1" applyAlignment="1">
      <alignment horizontal="left"/>
    </xf>
    <xf numFmtId="164" fontId="3" fillId="0" borderId="0" xfId="0" applyNumberFormat="1" applyFont="1" applyFill="1" applyAlignment="1">
      <alignment horizontal="left"/>
    </xf>
    <xf numFmtId="0" fontId="5" fillId="0" borderId="0" xfId="0" applyFont="1" applyFill="1" applyAlignment="1">
      <alignment horizontal="left"/>
    </xf>
    <xf numFmtId="0" fontId="3" fillId="0" borderId="0" xfId="0" applyFont="1" applyFill="1" applyBorder="1" applyAlignment="1">
      <alignment horizontal="center"/>
    </xf>
    <xf numFmtId="165" fontId="3" fillId="0" borderId="0" xfId="0" applyNumberFormat="1" applyFont="1" applyFill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0" borderId="6" xfId="0" applyFont="1" applyFill="1" applyBorder="1"/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/>
    <xf numFmtId="0" fontId="4" fillId="0" borderId="0" xfId="0" applyFont="1" applyFill="1" applyBorder="1"/>
    <xf numFmtId="0" fontId="4" fillId="0" borderId="5" xfId="0" applyFont="1" applyFill="1" applyBorder="1"/>
    <xf numFmtId="0" fontId="2" fillId="0" borderId="4" xfId="0" applyFont="1" applyFill="1" applyBorder="1"/>
    <xf numFmtId="0" fontId="2" fillId="0" borderId="2" xfId="0" applyFont="1" applyFill="1" applyBorder="1" applyAlignment="1">
      <alignment horizontal="center"/>
    </xf>
    <xf numFmtId="0" fontId="3" fillId="0" borderId="10" xfId="0" applyFont="1" applyFill="1" applyBorder="1"/>
    <xf numFmtId="0" fontId="0" fillId="0" borderId="13" xfId="0" applyFont="1" applyFill="1" applyBorder="1"/>
    <xf numFmtId="0" fontId="0" fillId="0" borderId="14" xfId="0" applyFont="1" applyFill="1" applyBorder="1"/>
    <xf numFmtId="0" fontId="10" fillId="0" borderId="11" xfId="0" applyFont="1" applyFill="1" applyBorder="1"/>
    <xf numFmtId="0" fontId="11" fillId="3" borderId="11" xfId="0" applyFont="1" applyFill="1" applyBorder="1"/>
    <xf numFmtId="0" fontId="12" fillId="0" borderId="11" xfId="0" applyFont="1" applyFill="1" applyBorder="1"/>
    <xf numFmtId="0" fontId="13" fillId="0" borderId="8" xfId="0" applyFont="1" applyBorder="1" applyAlignment="1">
      <alignment horizontal="left"/>
    </xf>
    <xf numFmtId="0" fontId="14" fillId="0" borderId="8" xfId="0" applyFont="1" applyBorder="1" applyAlignment="1">
      <alignment horizontal="left"/>
    </xf>
    <xf numFmtId="0" fontId="0" fillId="0" borderId="8" xfId="0" applyBorder="1"/>
    <xf numFmtId="0" fontId="14" fillId="0" borderId="8" xfId="0" applyFont="1" applyBorder="1" applyAlignment="1">
      <alignment horizontal="center"/>
    </xf>
    <xf numFmtId="0" fontId="13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2" xfId="0" applyBorder="1"/>
    <xf numFmtId="0" fontId="5" fillId="0" borderId="2" xfId="0" applyFont="1" applyBorder="1" applyAlignment="1">
      <alignment horizontal="center"/>
    </xf>
    <xf numFmtId="0" fontId="6" fillId="2" borderId="7" xfId="0" applyFont="1" applyFill="1" applyBorder="1" applyAlignment="1"/>
    <xf numFmtId="2" fontId="1" fillId="0" borderId="0" xfId="0" applyNumberFormat="1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left"/>
    </xf>
    <xf numFmtId="0" fontId="0" fillId="0" borderId="6" xfId="0" applyBorder="1"/>
    <xf numFmtId="0" fontId="0" fillId="0" borderId="5" xfId="0" applyBorder="1"/>
    <xf numFmtId="0" fontId="2" fillId="0" borderId="6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2" fontId="1" fillId="0" borderId="6" xfId="0" applyNumberFormat="1" applyFont="1" applyBorder="1" applyAlignment="1">
      <alignment horizontal="center"/>
    </xf>
    <xf numFmtId="2" fontId="1" fillId="0" borderId="5" xfId="0" applyNumberFormat="1" applyFont="1" applyBorder="1" applyAlignment="1">
      <alignment horizontal="center"/>
    </xf>
    <xf numFmtId="2" fontId="1" fillId="0" borderId="27" xfId="0" applyNumberFormat="1" applyFont="1" applyBorder="1" applyAlignment="1">
      <alignment horizontal="center"/>
    </xf>
    <xf numFmtId="2" fontId="1" fillId="0" borderId="28" xfId="0" applyNumberFormat="1" applyFont="1" applyBorder="1" applyAlignment="1">
      <alignment horizontal="center"/>
    </xf>
    <xf numFmtId="0" fontId="15" fillId="0" borderId="12" xfId="0" applyFont="1" applyFill="1" applyBorder="1"/>
    <xf numFmtId="0" fontId="16" fillId="0" borderId="12" xfId="0" applyFont="1" applyFill="1" applyBorder="1"/>
    <xf numFmtId="0" fontId="2" fillId="0" borderId="29" xfId="0" applyNumberFormat="1" applyFont="1" applyBorder="1" applyAlignment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2" fillId="4" borderId="2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0" borderId="15" xfId="0" applyFont="1" applyFill="1" applyBorder="1" applyAlignment="1"/>
    <xf numFmtId="0" fontId="0" fillId="0" borderId="16" xfId="0" applyFont="1" applyFill="1" applyBorder="1" applyAlignment="1"/>
    <xf numFmtId="0" fontId="0" fillId="0" borderId="17" xfId="0" applyFont="1" applyFill="1" applyBorder="1" applyAlignment="1"/>
    <xf numFmtId="0" fontId="12" fillId="0" borderId="15" xfId="0" applyFont="1" applyFill="1" applyBorder="1" applyAlignment="1"/>
    <xf numFmtId="0" fontId="11" fillId="3" borderId="15" xfId="0" applyFont="1" applyFill="1" applyBorder="1" applyAlignment="1"/>
    <xf numFmtId="0" fontId="6" fillId="2" borderId="9" xfId="0" applyFont="1" applyFill="1" applyBorder="1" applyAlignment="1" applyProtection="1">
      <alignment horizontal="center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0" fontId="10" fillId="0" borderId="15" xfId="0" applyFont="1" applyFill="1" applyBorder="1" applyAlignment="1"/>
    <xf numFmtId="0" fontId="9" fillId="0" borderId="16" xfId="0" applyFont="1" applyFill="1" applyBorder="1" applyAlignment="1"/>
    <xf numFmtId="0" fontId="9" fillId="0" borderId="17" xfId="0" applyFon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142875</xdr:colOff>
      <xdr:row>0</xdr:row>
      <xdr:rowOff>133350</xdr:rowOff>
    </xdr:from>
    <xdr:to>
      <xdr:col>9</xdr:col>
      <xdr:colOff>276225</xdr:colOff>
      <xdr:row>3</xdr:row>
      <xdr:rowOff>128112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9B3605-87F0-4D05-9DBF-A4803F808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133350"/>
          <a:ext cx="1562100" cy="566262"/>
        </a:xfrm>
        <a:prstGeom prst="rect">
          <a:avLst/>
        </a:prstGeom>
      </xdr:spPr>
    </xdr:pic>
    <xdr:clientData/>
  </xdr:twoCellAnchor>
  <xdr:twoCellAnchor editAs="oneCell">
    <xdr:from>
      <xdr:col>18</xdr:col>
      <xdr:colOff>352425</xdr:colOff>
      <xdr:row>0</xdr:row>
      <xdr:rowOff>133350</xdr:rowOff>
    </xdr:from>
    <xdr:to>
      <xdr:col>20</xdr:col>
      <xdr:colOff>581025</xdr:colOff>
      <xdr:row>3</xdr:row>
      <xdr:rowOff>128112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856A8F3-E43E-4E56-B629-510AF902B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34950" y="133350"/>
          <a:ext cx="1562100" cy="5662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142875</xdr:colOff>
      <xdr:row>0</xdr:row>
      <xdr:rowOff>133350</xdr:rowOff>
    </xdr:from>
    <xdr:to>
      <xdr:col>9</xdr:col>
      <xdr:colOff>276225</xdr:colOff>
      <xdr:row>3</xdr:row>
      <xdr:rowOff>128112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693EC4A-7138-4B79-8DDD-5C43740A0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133350"/>
          <a:ext cx="1562100" cy="566262"/>
        </a:xfrm>
        <a:prstGeom prst="rect">
          <a:avLst/>
        </a:prstGeom>
      </xdr:spPr>
    </xdr:pic>
    <xdr:clientData/>
  </xdr:twoCellAnchor>
  <xdr:oneCellAnchor>
    <xdr:from>
      <xdr:col>18</xdr:col>
      <xdr:colOff>381000</xdr:colOff>
      <xdr:row>0</xdr:row>
      <xdr:rowOff>114300</xdr:rowOff>
    </xdr:from>
    <xdr:ext cx="1562100" cy="566262"/>
    <xdr:pic>
      <xdr:nvPicPr>
        <xdr:cNvPr id="3" name="Picture 2">
          <a:extLst>
            <a:ext uri="{FF2B5EF4-FFF2-40B4-BE49-F238E27FC236}">
              <a16:creationId xmlns:a16="http://schemas.microsoft.com/office/drawing/2014/main" id="{696DF42E-D7D1-4176-8DE2-C1AADC53C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63525" y="114300"/>
          <a:ext cx="1562100" cy="566262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U60"/>
  <sheetViews>
    <sheetView showGridLines="0" tabSelected="1" view="pageLayout" zoomScaleNormal="100" zoomScaleSheetLayoutView="100" workbookViewId="0"/>
  </sheetViews>
  <sheetFormatPr defaultRowHeight="15" x14ac:dyDescent="0.25"/>
  <cols>
    <col min="1" max="1" width="14" customWidth="1"/>
    <col min="2" max="2" width="10" customWidth="1"/>
    <col min="3" max="3" width="11.140625" customWidth="1"/>
    <col min="4" max="4" width="11.5703125" customWidth="1"/>
    <col min="5" max="5" width="10.7109375" customWidth="1"/>
    <col min="6" max="9" width="10" customWidth="1"/>
    <col min="10" max="10" width="4.85546875" customWidth="1"/>
    <col min="11" max="11" width="6" customWidth="1"/>
    <col min="12" max="12" width="10.7109375" customWidth="1"/>
    <col min="13" max="19" width="9.42578125" bestFit="1" customWidth="1"/>
  </cols>
  <sheetData>
    <row r="1" spans="1:21" x14ac:dyDescent="0.25">
      <c r="A1" s="56" t="s">
        <v>73</v>
      </c>
      <c r="B1" s="57" t="s">
        <v>68</v>
      </c>
      <c r="C1" s="58"/>
      <c r="D1" s="58"/>
      <c r="E1" s="59"/>
      <c r="F1" s="59"/>
      <c r="G1" s="59"/>
      <c r="H1" s="59"/>
      <c r="I1" s="59"/>
      <c r="J1" s="59"/>
      <c r="L1" s="56" t="s">
        <v>74</v>
      </c>
      <c r="M1" s="57" t="s">
        <v>68</v>
      </c>
      <c r="N1" s="58"/>
      <c r="O1" s="58"/>
      <c r="P1" s="59"/>
      <c r="Q1" s="59"/>
      <c r="R1" s="59"/>
      <c r="S1" s="59"/>
      <c r="T1" s="59"/>
      <c r="U1" s="59"/>
    </row>
    <row r="2" spans="1:21" x14ac:dyDescent="0.25">
      <c r="A2" s="60" t="s">
        <v>66</v>
      </c>
      <c r="B2" s="61" t="s">
        <v>72</v>
      </c>
      <c r="E2" s="62"/>
      <c r="F2" s="62"/>
      <c r="G2" s="62"/>
      <c r="H2" s="62"/>
      <c r="I2" s="62"/>
      <c r="J2" s="62"/>
      <c r="L2" s="60" t="s">
        <v>66</v>
      </c>
      <c r="M2" s="61" t="s">
        <v>72</v>
      </c>
      <c r="P2" s="62" t="s">
        <v>70</v>
      </c>
      <c r="Q2" s="62"/>
      <c r="R2" s="62"/>
      <c r="S2" s="62"/>
      <c r="T2" s="62"/>
      <c r="U2" s="62"/>
    </row>
    <row r="3" spans="1:21" x14ac:dyDescent="0.25">
      <c r="E3" s="63"/>
      <c r="F3" s="63"/>
      <c r="G3" s="63"/>
      <c r="H3" s="63"/>
      <c r="I3" s="63"/>
      <c r="J3" s="63"/>
      <c r="P3" s="63"/>
      <c r="Q3" s="63"/>
      <c r="R3" s="63"/>
      <c r="S3" s="63"/>
      <c r="T3" s="63"/>
      <c r="U3" s="63"/>
    </row>
    <row r="4" spans="1:21" x14ac:dyDescent="0.25">
      <c r="A4" s="64"/>
      <c r="B4" s="64"/>
      <c r="C4" s="64"/>
      <c r="D4" s="64"/>
      <c r="E4" s="65"/>
      <c r="F4" s="65"/>
      <c r="G4" s="65"/>
      <c r="H4" s="65"/>
      <c r="I4" s="65"/>
      <c r="J4" s="65"/>
      <c r="L4" s="64"/>
      <c r="M4" s="64"/>
      <c r="N4" s="64"/>
      <c r="O4" s="64"/>
      <c r="P4" s="65"/>
      <c r="Q4" s="65"/>
      <c r="R4" s="65"/>
      <c r="S4" s="65"/>
      <c r="T4" s="65"/>
      <c r="U4" s="65"/>
    </row>
    <row r="5" spans="1:21" ht="15.75" thickBot="1" x14ac:dyDescent="0.3"/>
    <row r="6" spans="1:21" x14ac:dyDescent="0.25">
      <c r="A6" s="90" t="s">
        <v>7</v>
      </c>
      <c r="B6" s="91"/>
      <c r="C6" s="91"/>
      <c r="D6" s="91"/>
      <c r="E6" s="91"/>
      <c r="F6" s="91"/>
      <c r="G6" s="91"/>
      <c r="H6" s="91"/>
      <c r="I6" s="91"/>
      <c r="J6" s="10"/>
      <c r="L6" s="32" t="s">
        <v>7</v>
      </c>
      <c r="M6" s="15"/>
      <c r="N6" s="24"/>
      <c r="O6" s="15"/>
      <c r="P6" s="15"/>
      <c r="Q6" s="15"/>
      <c r="R6" s="15"/>
      <c r="S6" s="15"/>
      <c r="T6" s="16"/>
    </row>
    <row r="7" spans="1:21" x14ac:dyDescent="0.25">
      <c r="A7" s="43" t="s">
        <v>4</v>
      </c>
      <c r="B7" s="44" t="s">
        <v>3</v>
      </c>
      <c r="C7" s="44" t="s">
        <v>2</v>
      </c>
      <c r="D7" s="45" t="s">
        <v>1</v>
      </c>
      <c r="E7" s="45" t="s">
        <v>0</v>
      </c>
      <c r="F7" s="44" t="s">
        <v>31</v>
      </c>
      <c r="G7" s="45"/>
      <c r="H7" s="14"/>
      <c r="I7" s="46"/>
      <c r="J7" s="47"/>
      <c r="L7" s="17"/>
      <c r="M7" s="18"/>
      <c r="N7" s="19"/>
      <c r="O7" s="19"/>
      <c r="P7" s="25" t="s">
        <v>64</v>
      </c>
      <c r="Q7" s="18"/>
      <c r="R7" s="18"/>
      <c r="S7" s="18"/>
      <c r="T7" s="20"/>
    </row>
    <row r="8" spans="1:21" x14ac:dyDescent="0.25">
      <c r="A8" s="43" t="s">
        <v>27</v>
      </c>
      <c r="B8" s="44" t="s">
        <v>62</v>
      </c>
      <c r="C8" s="40">
        <v>65</v>
      </c>
      <c r="D8" s="40">
        <v>0.1</v>
      </c>
      <c r="E8" s="40" t="s">
        <v>71</v>
      </c>
      <c r="F8" s="40">
        <v>1</v>
      </c>
      <c r="G8" s="45"/>
      <c r="H8" s="45"/>
      <c r="I8" s="46"/>
      <c r="J8" s="47"/>
      <c r="L8" s="21" t="str">
        <f>B9</f>
        <v>°F</v>
      </c>
      <c r="M8" s="6">
        <f>C8</f>
        <v>65</v>
      </c>
      <c r="N8" s="6">
        <f t="shared" ref="N8:S8" si="0">M8+$D$8</f>
        <v>65.099999999999994</v>
      </c>
      <c r="O8" s="6">
        <f t="shared" si="0"/>
        <v>65.199999999999989</v>
      </c>
      <c r="P8" s="6">
        <f t="shared" si="0"/>
        <v>65.299999999999983</v>
      </c>
      <c r="Q8" s="6">
        <f t="shared" si="0"/>
        <v>65.399999999999977</v>
      </c>
      <c r="R8" s="6">
        <f t="shared" si="0"/>
        <v>65.499999999999972</v>
      </c>
      <c r="S8" s="6">
        <f t="shared" si="0"/>
        <v>65.599999999999966</v>
      </c>
      <c r="T8" s="22" t="str">
        <f>B9</f>
        <v>°F</v>
      </c>
    </row>
    <row r="9" spans="1:21" x14ac:dyDescent="0.25">
      <c r="A9" s="48" t="s">
        <v>28</v>
      </c>
      <c r="B9" s="49" t="s">
        <v>63</v>
      </c>
      <c r="C9" s="41">
        <v>135</v>
      </c>
      <c r="D9" s="41">
        <v>0.1</v>
      </c>
      <c r="E9" s="42"/>
      <c r="F9" s="41"/>
      <c r="G9" s="2"/>
      <c r="H9" s="2"/>
      <c r="I9" s="2"/>
      <c r="J9" s="1"/>
      <c r="L9" s="23"/>
      <c r="M9" s="18"/>
      <c r="N9" s="18"/>
      <c r="O9" s="18"/>
      <c r="P9" s="25" t="s">
        <v>65</v>
      </c>
      <c r="Q9" s="18"/>
      <c r="R9" s="18"/>
      <c r="S9" s="18"/>
      <c r="T9" s="20"/>
    </row>
    <row r="10" spans="1:21" ht="15.75" thickBot="1" x14ac:dyDescent="0.3">
      <c r="A10" s="14"/>
      <c r="B10" s="14"/>
      <c r="C10" s="14"/>
      <c r="D10" s="14"/>
      <c r="E10" s="14"/>
      <c r="F10" s="14"/>
      <c r="G10" s="14"/>
      <c r="H10" s="14"/>
      <c r="I10" s="14"/>
      <c r="J10" s="14"/>
      <c r="L10" s="27">
        <f>C9</f>
        <v>135</v>
      </c>
      <c r="M10" s="26">
        <f t="shared" ref="M10:S19" si="1">ROUND(DensConv(BaseDens_04(DensConv(M$8,$B$8,"kg/m3"),$L10,0,$E$8,1),"kg/m3",$B$8),$F$8)</f>
        <v>56</v>
      </c>
      <c r="N10" s="26">
        <f t="shared" si="1"/>
        <v>56.1</v>
      </c>
      <c r="O10" s="26">
        <f t="shared" si="1"/>
        <v>56.2</v>
      </c>
      <c r="P10" s="26">
        <f t="shared" si="1"/>
        <v>56.3</v>
      </c>
      <c r="Q10" s="26">
        <f t="shared" si="1"/>
        <v>56.4</v>
      </c>
      <c r="R10" s="26">
        <f t="shared" si="1"/>
        <v>56.5</v>
      </c>
      <c r="S10" s="26">
        <f t="shared" si="1"/>
        <v>56.6</v>
      </c>
      <c r="T10" s="29">
        <f t="shared" ref="T10:T41" si="2">L10</f>
        <v>135</v>
      </c>
    </row>
    <row r="11" spans="1:21" x14ac:dyDescent="0.25">
      <c r="A11" s="50" t="s">
        <v>5</v>
      </c>
      <c r="B11" s="80" t="s">
        <v>69</v>
      </c>
      <c r="C11" s="51"/>
      <c r="D11" s="51"/>
      <c r="E11" s="51"/>
      <c r="F11" s="51"/>
      <c r="G11" s="51"/>
      <c r="H11" s="51"/>
      <c r="I11" s="51"/>
      <c r="J11" s="52"/>
      <c r="L11" s="27">
        <f t="shared" ref="L11:L42" si="3">L10+$D$9</f>
        <v>135.1</v>
      </c>
      <c r="M11" s="26">
        <f t="shared" si="1"/>
        <v>56</v>
      </c>
      <c r="N11" s="26">
        <f t="shared" si="1"/>
        <v>56.1</v>
      </c>
      <c r="O11" s="26">
        <f t="shared" si="1"/>
        <v>56.2</v>
      </c>
      <c r="P11" s="26">
        <f t="shared" si="1"/>
        <v>56.3</v>
      </c>
      <c r="Q11" s="26">
        <f t="shared" si="1"/>
        <v>56.4</v>
      </c>
      <c r="R11" s="26">
        <f t="shared" si="1"/>
        <v>56.5</v>
      </c>
      <c r="S11" s="26">
        <f t="shared" si="1"/>
        <v>56.6</v>
      </c>
      <c r="T11" s="29">
        <f t="shared" si="2"/>
        <v>135.1</v>
      </c>
    </row>
    <row r="12" spans="1:21" x14ac:dyDescent="0.25">
      <c r="A12" s="54" t="s">
        <v>7</v>
      </c>
      <c r="B12" s="89" t="s">
        <v>6</v>
      </c>
      <c r="C12" s="86"/>
      <c r="D12" s="86"/>
      <c r="E12" s="86"/>
      <c r="F12" s="86"/>
      <c r="G12" s="86"/>
      <c r="H12" s="86"/>
      <c r="I12" s="86"/>
      <c r="J12" s="87"/>
      <c r="L12" s="27">
        <f t="shared" si="3"/>
        <v>135.19999999999999</v>
      </c>
      <c r="M12" s="26">
        <f t="shared" si="1"/>
        <v>56</v>
      </c>
      <c r="N12" s="26">
        <f t="shared" si="1"/>
        <v>56.1</v>
      </c>
      <c r="O12" s="26">
        <f t="shared" si="1"/>
        <v>56.2</v>
      </c>
      <c r="P12" s="26">
        <f t="shared" si="1"/>
        <v>56.3</v>
      </c>
      <c r="Q12" s="26">
        <f t="shared" si="1"/>
        <v>56.4</v>
      </c>
      <c r="R12" s="26">
        <f t="shared" si="1"/>
        <v>56.5</v>
      </c>
      <c r="S12" s="26">
        <f t="shared" si="1"/>
        <v>56.5</v>
      </c>
      <c r="T12" s="29">
        <f t="shared" si="2"/>
        <v>135.19999999999999</v>
      </c>
    </row>
    <row r="13" spans="1:21" x14ac:dyDescent="0.25">
      <c r="A13" s="55" t="s">
        <v>9</v>
      </c>
      <c r="B13" s="88" t="s">
        <v>8</v>
      </c>
      <c r="C13" s="86"/>
      <c r="D13" s="86"/>
      <c r="E13" s="86"/>
      <c r="F13" s="86"/>
      <c r="G13" s="86"/>
      <c r="H13" s="86"/>
      <c r="I13" s="86"/>
      <c r="J13" s="87"/>
      <c r="L13" s="27">
        <f t="shared" si="3"/>
        <v>135.29999999999998</v>
      </c>
      <c r="M13" s="26">
        <f t="shared" si="1"/>
        <v>56</v>
      </c>
      <c r="N13" s="26">
        <f t="shared" si="1"/>
        <v>56.1</v>
      </c>
      <c r="O13" s="26">
        <f t="shared" si="1"/>
        <v>56.2</v>
      </c>
      <c r="P13" s="26">
        <f t="shared" si="1"/>
        <v>56.3</v>
      </c>
      <c r="Q13" s="26">
        <f t="shared" si="1"/>
        <v>56.4</v>
      </c>
      <c r="R13" s="26">
        <f t="shared" si="1"/>
        <v>56.4</v>
      </c>
      <c r="S13" s="26">
        <f t="shared" si="1"/>
        <v>56.5</v>
      </c>
      <c r="T13" s="29">
        <f t="shared" si="2"/>
        <v>135.29999999999998</v>
      </c>
    </row>
    <row r="14" spans="1:21" x14ac:dyDescent="0.25">
      <c r="A14" s="55" t="s">
        <v>11</v>
      </c>
      <c r="B14" s="88" t="s">
        <v>10</v>
      </c>
      <c r="C14" s="86"/>
      <c r="D14" s="86"/>
      <c r="E14" s="86"/>
      <c r="F14" s="86"/>
      <c r="G14" s="86"/>
      <c r="H14" s="86"/>
      <c r="I14" s="86"/>
      <c r="J14" s="87"/>
      <c r="L14" s="27">
        <f t="shared" si="3"/>
        <v>135.39999999999998</v>
      </c>
      <c r="M14" s="26">
        <f t="shared" si="1"/>
        <v>56</v>
      </c>
      <c r="N14" s="26">
        <f t="shared" si="1"/>
        <v>56.1</v>
      </c>
      <c r="O14" s="26">
        <f t="shared" si="1"/>
        <v>56.2</v>
      </c>
      <c r="P14" s="26">
        <f t="shared" si="1"/>
        <v>56.3</v>
      </c>
      <c r="Q14" s="26">
        <f t="shared" si="1"/>
        <v>56.3</v>
      </c>
      <c r="R14" s="26">
        <f t="shared" si="1"/>
        <v>56.4</v>
      </c>
      <c r="S14" s="26">
        <f t="shared" si="1"/>
        <v>56.5</v>
      </c>
      <c r="T14" s="29">
        <f t="shared" si="2"/>
        <v>135.39999999999998</v>
      </c>
    </row>
    <row r="15" spans="1:21" x14ac:dyDescent="0.25">
      <c r="A15" s="55" t="s">
        <v>13</v>
      </c>
      <c r="B15" s="88" t="s">
        <v>12</v>
      </c>
      <c r="C15" s="86"/>
      <c r="D15" s="86"/>
      <c r="E15" s="86"/>
      <c r="F15" s="86"/>
      <c r="G15" s="86"/>
      <c r="H15" s="86"/>
      <c r="I15" s="86"/>
      <c r="J15" s="87"/>
      <c r="L15" s="27">
        <f t="shared" si="3"/>
        <v>135.49999999999997</v>
      </c>
      <c r="M15" s="26">
        <f t="shared" si="1"/>
        <v>56</v>
      </c>
      <c r="N15" s="26">
        <f t="shared" si="1"/>
        <v>56.1</v>
      </c>
      <c r="O15" s="26">
        <f t="shared" si="1"/>
        <v>56.2</v>
      </c>
      <c r="P15" s="26">
        <f t="shared" si="1"/>
        <v>56.2</v>
      </c>
      <c r="Q15" s="26">
        <f t="shared" si="1"/>
        <v>56.3</v>
      </c>
      <c r="R15" s="26">
        <f t="shared" si="1"/>
        <v>56.4</v>
      </c>
      <c r="S15" s="26">
        <f t="shared" si="1"/>
        <v>56.5</v>
      </c>
      <c r="T15" s="29">
        <f t="shared" si="2"/>
        <v>135.49999999999997</v>
      </c>
    </row>
    <row r="16" spans="1:21" x14ac:dyDescent="0.25">
      <c r="A16" s="55" t="s">
        <v>14</v>
      </c>
      <c r="B16" s="88" t="s">
        <v>15</v>
      </c>
      <c r="C16" s="86"/>
      <c r="D16" s="86"/>
      <c r="E16" s="86"/>
      <c r="F16" s="86"/>
      <c r="G16" s="86"/>
      <c r="H16" s="86"/>
      <c r="I16" s="86"/>
      <c r="J16" s="87"/>
      <c r="L16" s="27">
        <f t="shared" si="3"/>
        <v>135.59999999999997</v>
      </c>
      <c r="M16" s="26">
        <f t="shared" si="1"/>
        <v>56</v>
      </c>
      <c r="N16" s="26">
        <f t="shared" si="1"/>
        <v>56.1</v>
      </c>
      <c r="O16" s="26">
        <f t="shared" si="1"/>
        <v>56.1</v>
      </c>
      <c r="P16" s="26">
        <f t="shared" si="1"/>
        <v>56.2</v>
      </c>
      <c r="Q16" s="26">
        <f t="shared" si="1"/>
        <v>56.3</v>
      </c>
      <c r="R16" s="26">
        <f t="shared" si="1"/>
        <v>56.4</v>
      </c>
      <c r="S16" s="26">
        <f t="shared" si="1"/>
        <v>56.5</v>
      </c>
      <c r="T16" s="29">
        <f t="shared" si="2"/>
        <v>135.59999999999997</v>
      </c>
    </row>
    <row r="17" spans="1:20" x14ac:dyDescent="0.25">
      <c r="A17" s="55" t="s">
        <v>16</v>
      </c>
      <c r="B17" s="88" t="s">
        <v>17</v>
      </c>
      <c r="C17" s="86"/>
      <c r="D17" s="86"/>
      <c r="E17" s="86"/>
      <c r="F17" s="86"/>
      <c r="G17" s="86"/>
      <c r="H17" s="86"/>
      <c r="I17" s="86"/>
      <c r="J17" s="87"/>
      <c r="L17" s="27">
        <f t="shared" si="3"/>
        <v>135.69999999999996</v>
      </c>
      <c r="M17" s="26">
        <f t="shared" si="1"/>
        <v>56</v>
      </c>
      <c r="N17" s="26">
        <f t="shared" si="1"/>
        <v>56.1</v>
      </c>
      <c r="O17" s="26">
        <f t="shared" si="1"/>
        <v>56.1</v>
      </c>
      <c r="P17" s="26">
        <f t="shared" si="1"/>
        <v>56.2</v>
      </c>
      <c r="Q17" s="26">
        <f t="shared" si="1"/>
        <v>56.3</v>
      </c>
      <c r="R17" s="26">
        <f t="shared" si="1"/>
        <v>56.4</v>
      </c>
      <c r="S17" s="26">
        <f t="shared" si="1"/>
        <v>56.5</v>
      </c>
      <c r="T17" s="29">
        <f t="shared" si="2"/>
        <v>135.69999999999996</v>
      </c>
    </row>
    <row r="18" spans="1:20" x14ac:dyDescent="0.25">
      <c r="A18" s="55" t="s">
        <v>19</v>
      </c>
      <c r="B18" s="88" t="s">
        <v>18</v>
      </c>
      <c r="C18" s="86"/>
      <c r="D18" s="86"/>
      <c r="E18" s="86"/>
      <c r="F18" s="86"/>
      <c r="G18" s="86"/>
      <c r="H18" s="86"/>
      <c r="I18" s="86"/>
      <c r="J18" s="87"/>
      <c r="L18" s="27">
        <f t="shared" si="3"/>
        <v>135.79999999999995</v>
      </c>
      <c r="M18" s="26">
        <f t="shared" si="1"/>
        <v>56</v>
      </c>
      <c r="N18" s="26">
        <f t="shared" si="1"/>
        <v>56</v>
      </c>
      <c r="O18" s="26">
        <f t="shared" si="1"/>
        <v>56.1</v>
      </c>
      <c r="P18" s="26">
        <f t="shared" si="1"/>
        <v>56.2</v>
      </c>
      <c r="Q18" s="26">
        <f t="shared" si="1"/>
        <v>56.3</v>
      </c>
      <c r="R18" s="26">
        <f t="shared" si="1"/>
        <v>56.4</v>
      </c>
      <c r="S18" s="26">
        <f t="shared" si="1"/>
        <v>56.5</v>
      </c>
      <c r="T18" s="29">
        <f t="shared" si="2"/>
        <v>135.79999999999995</v>
      </c>
    </row>
    <row r="19" spans="1:20" x14ac:dyDescent="0.25">
      <c r="A19" s="55" t="s">
        <v>21</v>
      </c>
      <c r="B19" s="88" t="s">
        <v>20</v>
      </c>
      <c r="C19" s="86"/>
      <c r="D19" s="86"/>
      <c r="E19" s="86"/>
      <c r="F19" s="86"/>
      <c r="G19" s="86"/>
      <c r="H19" s="86"/>
      <c r="I19" s="86"/>
      <c r="J19" s="87"/>
      <c r="L19" s="27">
        <f t="shared" si="3"/>
        <v>135.89999999999995</v>
      </c>
      <c r="M19" s="26">
        <f t="shared" si="1"/>
        <v>55.9</v>
      </c>
      <c r="N19" s="26">
        <f t="shared" si="1"/>
        <v>56</v>
      </c>
      <c r="O19" s="26">
        <f t="shared" si="1"/>
        <v>56.1</v>
      </c>
      <c r="P19" s="26">
        <f t="shared" si="1"/>
        <v>56.2</v>
      </c>
      <c r="Q19" s="26">
        <f t="shared" si="1"/>
        <v>56.3</v>
      </c>
      <c r="R19" s="26">
        <f t="shared" si="1"/>
        <v>56.4</v>
      </c>
      <c r="S19" s="26">
        <f t="shared" si="1"/>
        <v>56.5</v>
      </c>
      <c r="T19" s="29">
        <f t="shared" si="2"/>
        <v>135.89999999999995</v>
      </c>
    </row>
    <row r="20" spans="1:20" x14ac:dyDescent="0.25">
      <c r="A20" s="55" t="s">
        <v>22</v>
      </c>
      <c r="B20" s="88" t="s">
        <v>26</v>
      </c>
      <c r="C20" s="86"/>
      <c r="D20" s="86"/>
      <c r="E20" s="86"/>
      <c r="F20" s="86"/>
      <c r="G20" s="86"/>
      <c r="H20" s="86"/>
      <c r="I20" s="86"/>
      <c r="J20" s="87"/>
      <c r="L20" s="27">
        <f t="shared" si="3"/>
        <v>135.99999999999994</v>
      </c>
      <c r="M20" s="26">
        <f t="shared" ref="M20:S29" si="4">ROUND(DensConv(BaseDens_04(DensConv(M$8,$B$8,"kg/m3"),$L20,0,$E$8,1),"kg/m3",$B$8),$F$8)</f>
        <v>55.9</v>
      </c>
      <c r="N20" s="26">
        <f t="shared" si="4"/>
        <v>56</v>
      </c>
      <c r="O20" s="26">
        <f t="shared" si="4"/>
        <v>56.1</v>
      </c>
      <c r="P20" s="26">
        <f t="shared" si="4"/>
        <v>56.2</v>
      </c>
      <c r="Q20" s="26">
        <f t="shared" si="4"/>
        <v>56.3</v>
      </c>
      <c r="R20" s="26">
        <f t="shared" si="4"/>
        <v>56.4</v>
      </c>
      <c r="S20" s="26">
        <f t="shared" si="4"/>
        <v>56.5</v>
      </c>
      <c r="T20" s="29">
        <f t="shared" si="2"/>
        <v>135.99999999999994</v>
      </c>
    </row>
    <row r="21" spans="1:20" x14ac:dyDescent="0.25">
      <c r="A21" s="11" t="s">
        <v>29</v>
      </c>
      <c r="B21" s="85" t="s">
        <v>24</v>
      </c>
      <c r="C21" s="86"/>
      <c r="D21" s="86"/>
      <c r="E21" s="86"/>
      <c r="F21" s="86"/>
      <c r="G21" s="86"/>
      <c r="H21" s="86"/>
      <c r="I21" s="86"/>
      <c r="J21" s="87"/>
      <c r="L21" s="27">
        <f t="shared" si="3"/>
        <v>136.09999999999994</v>
      </c>
      <c r="M21" s="26">
        <f t="shared" si="4"/>
        <v>55.9</v>
      </c>
      <c r="N21" s="26">
        <f t="shared" si="4"/>
        <v>56</v>
      </c>
      <c r="O21" s="26">
        <f t="shared" si="4"/>
        <v>56.1</v>
      </c>
      <c r="P21" s="26">
        <f t="shared" si="4"/>
        <v>56.2</v>
      </c>
      <c r="Q21" s="26">
        <f t="shared" si="4"/>
        <v>56.3</v>
      </c>
      <c r="R21" s="26">
        <f t="shared" si="4"/>
        <v>56.4</v>
      </c>
      <c r="S21" s="26">
        <f t="shared" si="4"/>
        <v>56.4</v>
      </c>
      <c r="T21" s="29">
        <f t="shared" si="2"/>
        <v>136.09999999999994</v>
      </c>
    </row>
    <row r="22" spans="1:20" x14ac:dyDescent="0.25">
      <c r="A22" s="11" t="s">
        <v>23</v>
      </c>
      <c r="B22" s="85" t="s">
        <v>25</v>
      </c>
      <c r="C22" s="86"/>
      <c r="D22" s="86"/>
      <c r="E22" s="86"/>
      <c r="F22" s="86"/>
      <c r="G22" s="86"/>
      <c r="H22" s="86"/>
      <c r="I22" s="86"/>
      <c r="J22" s="87"/>
      <c r="L22" s="27">
        <f t="shared" si="3"/>
        <v>136.19999999999993</v>
      </c>
      <c r="M22" s="26">
        <f t="shared" si="4"/>
        <v>55.9</v>
      </c>
      <c r="N22" s="26">
        <f t="shared" si="4"/>
        <v>56</v>
      </c>
      <c r="O22" s="26">
        <f t="shared" si="4"/>
        <v>56.1</v>
      </c>
      <c r="P22" s="26">
        <f t="shared" si="4"/>
        <v>56.2</v>
      </c>
      <c r="Q22" s="26">
        <f t="shared" si="4"/>
        <v>56.3</v>
      </c>
      <c r="R22" s="26">
        <f t="shared" si="4"/>
        <v>56.3</v>
      </c>
      <c r="S22" s="26">
        <f t="shared" si="4"/>
        <v>56.4</v>
      </c>
      <c r="T22" s="29">
        <f t="shared" si="2"/>
        <v>136.19999999999993</v>
      </c>
    </row>
    <row r="23" spans="1:20" x14ac:dyDescent="0.25">
      <c r="A23" s="55" t="s">
        <v>30</v>
      </c>
      <c r="B23" s="88" t="s">
        <v>32</v>
      </c>
      <c r="C23" s="86"/>
      <c r="D23" s="86"/>
      <c r="E23" s="86"/>
      <c r="F23" s="86"/>
      <c r="G23" s="86"/>
      <c r="H23" s="86"/>
      <c r="I23" s="86"/>
      <c r="J23" s="87"/>
      <c r="L23" s="27">
        <f t="shared" si="3"/>
        <v>136.29999999999993</v>
      </c>
      <c r="M23" s="26">
        <f t="shared" si="4"/>
        <v>55.9</v>
      </c>
      <c r="N23" s="26">
        <f t="shared" si="4"/>
        <v>56</v>
      </c>
      <c r="O23" s="26">
        <f t="shared" si="4"/>
        <v>56.1</v>
      </c>
      <c r="P23" s="26">
        <f t="shared" si="4"/>
        <v>56.2</v>
      </c>
      <c r="Q23" s="26">
        <f t="shared" si="4"/>
        <v>56.2</v>
      </c>
      <c r="R23" s="26">
        <f t="shared" si="4"/>
        <v>56.3</v>
      </c>
      <c r="S23" s="26">
        <f t="shared" si="4"/>
        <v>56.4</v>
      </c>
      <c r="T23" s="29">
        <f t="shared" si="2"/>
        <v>136.29999999999993</v>
      </c>
    </row>
    <row r="24" spans="1:20" x14ac:dyDescent="0.25">
      <c r="A24" s="55" t="s">
        <v>33</v>
      </c>
      <c r="B24" s="88" t="s">
        <v>37</v>
      </c>
      <c r="C24" s="86"/>
      <c r="D24" s="86"/>
      <c r="E24" s="86"/>
      <c r="F24" s="86"/>
      <c r="G24" s="86"/>
      <c r="H24" s="86"/>
      <c r="I24" s="86"/>
      <c r="J24" s="87"/>
      <c r="L24" s="27">
        <f t="shared" si="3"/>
        <v>136.39999999999992</v>
      </c>
      <c r="M24" s="26">
        <f t="shared" si="4"/>
        <v>55.9</v>
      </c>
      <c r="N24" s="26">
        <f t="shared" si="4"/>
        <v>56</v>
      </c>
      <c r="O24" s="26">
        <f t="shared" si="4"/>
        <v>56.1</v>
      </c>
      <c r="P24" s="26">
        <f t="shared" si="4"/>
        <v>56.1</v>
      </c>
      <c r="Q24" s="26">
        <f t="shared" si="4"/>
        <v>56.2</v>
      </c>
      <c r="R24" s="26">
        <f t="shared" si="4"/>
        <v>56.3</v>
      </c>
      <c r="S24" s="26">
        <f t="shared" si="4"/>
        <v>56.4</v>
      </c>
      <c r="T24" s="29">
        <f t="shared" si="2"/>
        <v>136.39999999999992</v>
      </c>
    </row>
    <row r="25" spans="1:20" x14ac:dyDescent="0.25">
      <c r="A25" s="11" t="s">
        <v>35</v>
      </c>
      <c r="B25" s="85" t="s">
        <v>34</v>
      </c>
      <c r="C25" s="86"/>
      <c r="D25" s="86"/>
      <c r="E25" s="86"/>
      <c r="F25" s="86"/>
      <c r="G25" s="86"/>
      <c r="H25" s="86"/>
      <c r="I25" s="86"/>
      <c r="J25" s="87"/>
      <c r="L25" s="27">
        <f t="shared" si="3"/>
        <v>136.49999999999991</v>
      </c>
      <c r="M25" s="26">
        <f t="shared" si="4"/>
        <v>55.9</v>
      </c>
      <c r="N25" s="26">
        <f t="shared" si="4"/>
        <v>56</v>
      </c>
      <c r="O25" s="26">
        <f t="shared" si="4"/>
        <v>56.1</v>
      </c>
      <c r="P25" s="26">
        <f t="shared" si="4"/>
        <v>56.1</v>
      </c>
      <c r="Q25" s="26">
        <f t="shared" si="4"/>
        <v>56.2</v>
      </c>
      <c r="R25" s="26">
        <f t="shared" si="4"/>
        <v>56.3</v>
      </c>
      <c r="S25" s="26">
        <f t="shared" si="4"/>
        <v>56.4</v>
      </c>
      <c r="T25" s="29">
        <f t="shared" si="2"/>
        <v>136.49999999999991</v>
      </c>
    </row>
    <row r="26" spans="1:20" x14ac:dyDescent="0.25">
      <c r="A26" s="55" t="s">
        <v>36</v>
      </c>
      <c r="B26" s="88" t="s">
        <v>38</v>
      </c>
      <c r="C26" s="86"/>
      <c r="D26" s="86"/>
      <c r="E26" s="86"/>
      <c r="F26" s="86"/>
      <c r="G26" s="86"/>
      <c r="H26" s="86"/>
      <c r="I26" s="86"/>
      <c r="J26" s="87"/>
      <c r="L26" s="27">
        <f t="shared" si="3"/>
        <v>136.59999999999991</v>
      </c>
      <c r="M26" s="26">
        <f t="shared" si="4"/>
        <v>55.9</v>
      </c>
      <c r="N26" s="26">
        <f t="shared" si="4"/>
        <v>56</v>
      </c>
      <c r="O26" s="26">
        <f t="shared" si="4"/>
        <v>56</v>
      </c>
      <c r="P26" s="26">
        <f t="shared" si="4"/>
        <v>56.1</v>
      </c>
      <c r="Q26" s="26">
        <f t="shared" si="4"/>
        <v>56.2</v>
      </c>
      <c r="R26" s="26">
        <f t="shared" si="4"/>
        <v>56.3</v>
      </c>
      <c r="S26" s="26">
        <f t="shared" si="4"/>
        <v>56.4</v>
      </c>
      <c r="T26" s="29">
        <f t="shared" si="2"/>
        <v>136.59999999999991</v>
      </c>
    </row>
    <row r="27" spans="1:20" x14ac:dyDescent="0.25">
      <c r="A27" s="11" t="s">
        <v>44</v>
      </c>
      <c r="B27" s="85" t="s">
        <v>41</v>
      </c>
      <c r="C27" s="86"/>
      <c r="D27" s="86"/>
      <c r="E27" s="86"/>
      <c r="F27" s="86"/>
      <c r="G27" s="86"/>
      <c r="H27" s="86"/>
      <c r="I27" s="86"/>
      <c r="J27" s="87"/>
      <c r="L27" s="27">
        <f t="shared" si="3"/>
        <v>136.6999999999999</v>
      </c>
      <c r="M27" s="26">
        <f t="shared" si="4"/>
        <v>55.9</v>
      </c>
      <c r="N27" s="26">
        <f t="shared" si="4"/>
        <v>55.9</v>
      </c>
      <c r="O27" s="26">
        <f t="shared" si="4"/>
        <v>56</v>
      </c>
      <c r="P27" s="26">
        <f t="shared" si="4"/>
        <v>56.1</v>
      </c>
      <c r="Q27" s="26">
        <f t="shared" si="4"/>
        <v>56.2</v>
      </c>
      <c r="R27" s="26">
        <f t="shared" si="4"/>
        <v>56.3</v>
      </c>
      <c r="S27" s="26">
        <f t="shared" si="4"/>
        <v>56.4</v>
      </c>
      <c r="T27" s="29">
        <f t="shared" si="2"/>
        <v>136.6999999999999</v>
      </c>
    </row>
    <row r="28" spans="1:20" x14ac:dyDescent="0.25">
      <c r="A28" s="11" t="s">
        <v>39</v>
      </c>
      <c r="B28" s="85" t="s">
        <v>42</v>
      </c>
      <c r="C28" s="86"/>
      <c r="D28" s="86"/>
      <c r="E28" s="86"/>
      <c r="F28" s="86"/>
      <c r="G28" s="86"/>
      <c r="H28" s="86"/>
      <c r="I28" s="86"/>
      <c r="J28" s="87"/>
      <c r="L28" s="27">
        <f t="shared" si="3"/>
        <v>136.7999999999999</v>
      </c>
      <c r="M28" s="26">
        <f t="shared" si="4"/>
        <v>55.8</v>
      </c>
      <c r="N28" s="26">
        <f t="shared" si="4"/>
        <v>55.9</v>
      </c>
      <c r="O28" s="26">
        <f t="shared" si="4"/>
        <v>56</v>
      </c>
      <c r="P28" s="26">
        <f t="shared" si="4"/>
        <v>56.1</v>
      </c>
      <c r="Q28" s="26">
        <f t="shared" si="4"/>
        <v>56.2</v>
      </c>
      <c r="R28" s="26">
        <f t="shared" si="4"/>
        <v>56.3</v>
      </c>
      <c r="S28" s="26">
        <f t="shared" si="4"/>
        <v>56.4</v>
      </c>
      <c r="T28" s="29">
        <f t="shared" si="2"/>
        <v>136.7999999999999</v>
      </c>
    </row>
    <row r="29" spans="1:20" x14ac:dyDescent="0.25">
      <c r="A29" s="11" t="s">
        <v>40</v>
      </c>
      <c r="B29" s="85" t="s">
        <v>43</v>
      </c>
      <c r="C29" s="86"/>
      <c r="D29" s="86"/>
      <c r="E29" s="86"/>
      <c r="F29" s="86"/>
      <c r="G29" s="86"/>
      <c r="H29" s="86"/>
      <c r="I29" s="86"/>
      <c r="J29" s="87"/>
      <c r="L29" s="27">
        <f t="shared" si="3"/>
        <v>136.89999999999989</v>
      </c>
      <c r="M29" s="26">
        <f t="shared" si="4"/>
        <v>55.8</v>
      </c>
      <c r="N29" s="26">
        <f t="shared" si="4"/>
        <v>55.9</v>
      </c>
      <c r="O29" s="26">
        <f t="shared" si="4"/>
        <v>56</v>
      </c>
      <c r="P29" s="26">
        <f t="shared" si="4"/>
        <v>56.1</v>
      </c>
      <c r="Q29" s="26">
        <f t="shared" si="4"/>
        <v>56.2</v>
      </c>
      <c r="R29" s="26">
        <f t="shared" si="4"/>
        <v>56.3</v>
      </c>
      <c r="S29" s="26">
        <f t="shared" si="4"/>
        <v>56.4</v>
      </c>
      <c r="T29" s="29">
        <f t="shared" si="2"/>
        <v>136.89999999999989</v>
      </c>
    </row>
    <row r="30" spans="1:20" x14ac:dyDescent="0.25">
      <c r="A30" s="55" t="s">
        <v>45</v>
      </c>
      <c r="B30" s="88" t="s">
        <v>49</v>
      </c>
      <c r="C30" s="86"/>
      <c r="D30" s="86"/>
      <c r="E30" s="86"/>
      <c r="F30" s="86"/>
      <c r="G30" s="86"/>
      <c r="H30" s="86"/>
      <c r="I30" s="86"/>
      <c r="J30" s="87"/>
      <c r="L30" s="27">
        <f t="shared" si="3"/>
        <v>136.99999999999989</v>
      </c>
      <c r="M30" s="26">
        <f t="shared" ref="M30:S39" si="5">ROUND(DensConv(BaseDens_04(DensConv(M$8,$B$8,"kg/m3"),$L30,0,$E$8,1),"kg/m3",$B$8),$F$8)</f>
        <v>55.8</v>
      </c>
      <c r="N30" s="26">
        <f t="shared" si="5"/>
        <v>55.9</v>
      </c>
      <c r="O30" s="26">
        <f t="shared" si="5"/>
        <v>56</v>
      </c>
      <c r="P30" s="26">
        <f t="shared" si="5"/>
        <v>56.1</v>
      </c>
      <c r="Q30" s="26">
        <f t="shared" si="5"/>
        <v>56.2</v>
      </c>
      <c r="R30" s="26">
        <f t="shared" si="5"/>
        <v>56.3</v>
      </c>
      <c r="S30" s="26">
        <f t="shared" si="5"/>
        <v>56.3</v>
      </c>
      <c r="T30" s="29">
        <f t="shared" si="2"/>
        <v>136.99999999999989</v>
      </c>
    </row>
    <row r="31" spans="1:20" x14ac:dyDescent="0.25">
      <c r="A31" s="55" t="s">
        <v>46</v>
      </c>
      <c r="B31" s="88" t="s">
        <v>50</v>
      </c>
      <c r="C31" s="86"/>
      <c r="D31" s="86"/>
      <c r="E31" s="86"/>
      <c r="F31" s="86"/>
      <c r="G31" s="86"/>
      <c r="H31" s="86"/>
      <c r="I31" s="86"/>
      <c r="J31" s="87"/>
      <c r="L31" s="27">
        <f t="shared" si="3"/>
        <v>137.09999999999988</v>
      </c>
      <c r="M31" s="26">
        <f t="shared" si="5"/>
        <v>55.8</v>
      </c>
      <c r="N31" s="26">
        <f t="shared" si="5"/>
        <v>55.9</v>
      </c>
      <c r="O31" s="26">
        <f t="shared" si="5"/>
        <v>56</v>
      </c>
      <c r="P31" s="26">
        <f t="shared" si="5"/>
        <v>56.1</v>
      </c>
      <c r="Q31" s="26">
        <f t="shared" si="5"/>
        <v>56.2</v>
      </c>
      <c r="R31" s="26">
        <f t="shared" si="5"/>
        <v>56.2</v>
      </c>
      <c r="S31" s="26">
        <f t="shared" si="5"/>
        <v>56.3</v>
      </c>
      <c r="T31" s="29">
        <f t="shared" si="2"/>
        <v>137.09999999999988</v>
      </c>
    </row>
    <row r="32" spans="1:20" x14ac:dyDescent="0.25">
      <c r="A32" s="55" t="s">
        <v>47</v>
      </c>
      <c r="B32" s="88" t="s">
        <v>51</v>
      </c>
      <c r="C32" s="86"/>
      <c r="D32" s="86"/>
      <c r="E32" s="86"/>
      <c r="F32" s="86"/>
      <c r="G32" s="86"/>
      <c r="H32" s="86"/>
      <c r="I32" s="86"/>
      <c r="J32" s="87"/>
      <c r="L32" s="27">
        <f t="shared" si="3"/>
        <v>137.19999999999987</v>
      </c>
      <c r="M32" s="26">
        <f t="shared" si="5"/>
        <v>55.8</v>
      </c>
      <c r="N32" s="26">
        <f t="shared" si="5"/>
        <v>55.9</v>
      </c>
      <c r="O32" s="26">
        <f t="shared" si="5"/>
        <v>56</v>
      </c>
      <c r="P32" s="26">
        <f t="shared" si="5"/>
        <v>56.1</v>
      </c>
      <c r="Q32" s="26">
        <f t="shared" si="5"/>
        <v>56.1</v>
      </c>
      <c r="R32" s="26">
        <f t="shared" si="5"/>
        <v>56.2</v>
      </c>
      <c r="S32" s="26">
        <f t="shared" si="5"/>
        <v>56.3</v>
      </c>
      <c r="T32" s="29">
        <f t="shared" si="2"/>
        <v>137.19999999999987</v>
      </c>
    </row>
    <row r="33" spans="1:20" x14ac:dyDescent="0.25">
      <c r="A33" s="11" t="s">
        <v>48</v>
      </c>
      <c r="B33" s="85" t="s">
        <v>52</v>
      </c>
      <c r="C33" s="86"/>
      <c r="D33" s="86"/>
      <c r="E33" s="86"/>
      <c r="F33" s="86"/>
      <c r="G33" s="86"/>
      <c r="H33" s="86"/>
      <c r="I33" s="86"/>
      <c r="J33" s="87"/>
      <c r="L33" s="27">
        <f t="shared" si="3"/>
        <v>137.29999999999987</v>
      </c>
      <c r="M33" s="26">
        <f t="shared" si="5"/>
        <v>55.8</v>
      </c>
      <c r="N33" s="26">
        <f t="shared" si="5"/>
        <v>55.9</v>
      </c>
      <c r="O33" s="26">
        <f t="shared" si="5"/>
        <v>56</v>
      </c>
      <c r="P33" s="26">
        <f t="shared" si="5"/>
        <v>56</v>
      </c>
      <c r="Q33" s="26">
        <f t="shared" si="5"/>
        <v>56.1</v>
      </c>
      <c r="R33" s="26">
        <f t="shared" si="5"/>
        <v>56.2</v>
      </c>
      <c r="S33" s="26">
        <f t="shared" si="5"/>
        <v>56.3</v>
      </c>
      <c r="T33" s="29">
        <f t="shared" si="2"/>
        <v>137.29999999999987</v>
      </c>
    </row>
    <row r="34" spans="1:20" x14ac:dyDescent="0.25">
      <c r="A34" s="11" t="s">
        <v>55</v>
      </c>
      <c r="B34" s="85" t="s">
        <v>53</v>
      </c>
      <c r="C34" s="86"/>
      <c r="D34" s="86"/>
      <c r="E34" s="86"/>
      <c r="F34" s="86"/>
      <c r="G34" s="86"/>
      <c r="H34" s="86"/>
      <c r="I34" s="86"/>
      <c r="J34" s="87"/>
      <c r="L34" s="27">
        <f t="shared" si="3"/>
        <v>137.39999999999986</v>
      </c>
      <c r="M34" s="26">
        <f t="shared" si="5"/>
        <v>55.8</v>
      </c>
      <c r="N34" s="26">
        <f t="shared" si="5"/>
        <v>55.9</v>
      </c>
      <c r="O34" s="26">
        <f t="shared" si="5"/>
        <v>56</v>
      </c>
      <c r="P34" s="26">
        <f t="shared" si="5"/>
        <v>56</v>
      </c>
      <c r="Q34" s="26">
        <f t="shared" si="5"/>
        <v>56.1</v>
      </c>
      <c r="R34" s="26">
        <f t="shared" si="5"/>
        <v>56.2</v>
      </c>
      <c r="S34" s="26">
        <f t="shared" si="5"/>
        <v>56.3</v>
      </c>
      <c r="T34" s="29">
        <f t="shared" si="2"/>
        <v>137.39999999999986</v>
      </c>
    </row>
    <row r="35" spans="1:20" x14ac:dyDescent="0.25">
      <c r="A35" s="11" t="s">
        <v>56</v>
      </c>
      <c r="B35" s="85" t="s">
        <v>54</v>
      </c>
      <c r="C35" s="86"/>
      <c r="D35" s="86"/>
      <c r="E35" s="86"/>
      <c r="F35" s="86"/>
      <c r="G35" s="86"/>
      <c r="H35" s="86"/>
      <c r="I35" s="86"/>
      <c r="J35" s="87"/>
      <c r="L35" s="27">
        <f t="shared" si="3"/>
        <v>137.49999999999986</v>
      </c>
      <c r="M35" s="26">
        <f t="shared" si="5"/>
        <v>55.8</v>
      </c>
      <c r="N35" s="26">
        <f t="shared" si="5"/>
        <v>55.9</v>
      </c>
      <c r="O35" s="26">
        <f t="shared" si="5"/>
        <v>55.9</v>
      </c>
      <c r="P35" s="26">
        <f t="shared" si="5"/>
        <v>56</v>
      </c>
      <c r="Q35" s="26">
        <f t="shared" si="5"/>
        <v>56.1</v>
      </c>
      <c r="R35" s="26">
        <f t="shared" si="5"/>
        <v>56.2</v>
      </c>
      <c r="S35" s="26">
        <f t="shared" si="5"/>
        <v>56.3</v>
      </c>
      <c r="T35" s="29">
        <f t="shared" si="2"/>
        <v>137.49999999999986</v>
      </c>
    </row>
    <row r="36" spans="1:20" x14ac:dyDescent="0.25">
      <c r="A36" s="55" t="s">
        <v>57</v>
      </c>
      <c r="B36" s="88" t="s">
        <v>58</v>
      </c>
      <c r="C36" s="86"/>
      <c r="D36" s="86"/>
      <c r="E36" s="86"/>
      <c r="F36" s="86"/>
      <c r="G36" s="86"/>
      <c r="H36" s="86"/>
      <c r="I36" s="86"/>
      <c r="J36" s="87"/>
      <c r="L36" s="27">
        <f t="shared" si="3"/>
        <v>137.59999999999985</v>
      </c>
      <c r="M36" s="26">
        <f t="shared" si="5"/>
        <v>55.8</v>
      </c>
      <c r="N36" s="26">
        <f t="shared" si="5"/>
        <v>55.8</v>
      </c>
      <c r="O36" s="26">
        <f t="shared" si="5"/>
        <v>55.9</v>
      </c>
      <c r="P36" s="26">
        <f t="shared" si="5"/>
        <v>56</v>
      </c>
      <c r="Q36" s="26">
        <f t="shared" si="5"/>
        <v>56.1</v>
      </c>
      <c r="R36" s="26">
        <f t="shared" si="5"/>
        <v>56.2</v>
      </c>
      <c r="S36" s="26">
        <f t="shared" si="5"/>
        <v>56.3</v>
      </c>
      <c r="T36" s="29">
        <f t="shared" si="2"/>
        <v>137.59999999999985</v>
      </c>
    </row>
    <row r="37" spans="1:20" x14ac:dyDescent="0.25">
      <c r="A37" s="11" t="s">
        <v>59</v>
      </c>
      <c r="B37" s="85" t="s">
        <v>58</v>
      </c>
      <c r="C37" s="86"/>
      <c r="D37" s="86"/>
      <c r="E37" s="86"/>
      <c r="F37" s="86"/>
      <c r="G37" s="86"/>
      <c r="H37" s="86"/>
      <c r="I37" s="86"/>
      <c r="J37" s="87"/>
      <c r="L37" s="27">
        <f t="shared" si="3"/>
        <v>137.69999999999985</v>
      </c>
      <c r="M37" s="26">
        <f t="shared" si="5"/>
        <v>55.7</v>
      </c>
      <c r="N37" s="26">
        <f t="shared" si="5"/>
        <v>55.8</v>
      </c>
      <c r="O37" s="26">
        <f t="shared" si="5"/>
        <v>55.9</v>
      </c>
      <c r="P37" s="26">
        <f t="shared" si="5"/>
        <v>56</v>
      </c>
      <c r="Q37" s="26">
        <f t="shared" si="5"/>
        <v>56.1</v>
      </c>
      <c r="R37" s="26">
        <f t="shared" si="5"/>
        <v>56.2</v>
      </c>
      <c r="S37" s="26">
        <f t="shared" si="5"/>
        <v>56.3</v>
      </c>
      <c r="T37" s="29">
        <f t="shared" si="2"/>
        <v>137.69999999999985</v>
      </c>
    </row>
    <row r="38" spans="1:20" x14ac:dyDescent="0.25">
      <c r="A38" s="12"/>
      <c r="B38" s="13"/>
      <c r="C38" s="31"/>
      <c r="D38" s="31"/>
      <c r="E38" s="31"/>
      <c r="F38" s="31"/>
      <c r="G38" s="31"/>
      <c r="H38" s="31"/>
      <c r="I38" s="14"/>
      <c r="J38" s="14"/>
      <c r="L38" s="27">
        <f t="shared" si="3"/>
        <v>137.79999999999984</v>
      </c>
      <c r="M38" s="26">
        <f t="shared" si="5"/>
        <v>55.7</v>
      </c>
      <c r="N38" s="26">
        <f t="shared" si="5"/>
        <v>55.8</v>
      </c>
      <c r="O38" s="26">
        <f t="shared" si="5"/>
        <v>55.9</v>
      </c>
      <c r="P38" s="26">
        <f t="shared" si="5"/>
        <v>56</v>
      </c>
      <c r="Q38" s="26">
        <f t="shared" si="5"/>
        <v>56.1</v>
      </c>
      <c r="R38" s="26">
        <f t="shared" si="5"/>
        <v>56.2</v>
      </c>
      <c r="S38" s="26">
        <f t="shared" si="5"/>
        <v>56.3</v>
      </c>
      <c r="T38" s="29">
        <f t="shared" si="2"/>
        <v>137.79999999999984</v>
      </c>
    </row>
    <row r="39" spans="1:20" x14ac:dyDescent="0.25">
      <c r="A39" s="34"/>
      <c r="B39" s="33"/>
      <c r="C39" s="33"/>
      <c r="D39" s="14"/>
      <c r="E39" s="14"/>
      <c r="F39" s="31"/>
      <c r="G39" s="31"/>
      <c r="H39" s="31"/>
      <c r="I39" s="14"/>
      <c r="J39" s="14"/>
      <c r="L39" s="27">
        <f t="shared" si="3"/>
        <v>137.89999999999984</v>
      </c>
      <c r="M39" s="26">
        <f t="shared" si="5"/>
        <v>55.7</v>
      </c>
      <c r="N39" s="26">
        <f t="shared" si="5"/>
        <v>55.8</v>
      </c>
      <c r="O39" s="26">
        <f t="shared" si="5"/>
        <v>55.9</v>
      </c>
      <c r="P39" s="26">
        <f t="shared" si="5"/>
        <v>56</v>
      </c>
      <c r="Q39" s="26">
        <f t="shared" si="5"/>
        <v>56.1</v>
      </c>
      <c r="R39" s="26">
        <f t="shared" si="5"/>
        <v>56.2</v>
      </c>
      <c r="S39" s="26">
        <f t="shared" si="5"/>
        <v>56.2</v>
      </c>
      <c r="T39" s="29">
        <f t="shared" si="2"/>
        <v>137.89999999999984</v>
      </c>
    </row>
    <row r="40" spans="1:20" x14ac:dyDescent="0.25">
      <c r="A40" s="34"/>
      <c r="B40" s="38"/>
      <c r="C40" s="31"/>
      <c r="D40" s="37"/>
      <c r="E40" s="14"/>
      <c r="F40" s="14"/>
      <c r="G40" s="33"/>
      <c r="H40" s="33"/>
      <c r="I40" s="14"/>
      <c r="J40" s="14"/>
      <c r="L40" s="27">
        <f t="shared" si="3"/>
        <v>137.99999999999983</v>
      </c>
      <c r="M40" s="26">
        <f t="shared" ref="M40:S49" si="6">ROUND(DensConv(BaseDens_04(DensConv(M$8,$B$8,"kg/m3"),$L40,0,$E$8,1),"kg/m3",$B$8),$F$8)</f>
        <v>55.7</v>
      </c>
      <c r="N40" s="26">
        <f t="shared" si="6"/>
        <v>55.8</v>
      </c>
      <c r="O40" s="26">
        <f t="shared" si="6"/>
        <v>55.9</v>
      </c>
      <c r="P40" s="26">
        <f t="shared" si="6"/>
        <v>56</v>
      </c>
      <c r="Q40" s="26">
        <f t="shared" si="6"/>
        <v>56.1</v>
      </c>
      <c r="R40" s="26">
        <f t="shared" si="6"/>
        <v>56.1</v>
      </c>
      <c r="S40" s="26">
        <f t="shared" si="6"/>
        <v>56.2</v>
      </c>
      <c r="T40" s="29">
        <f t="shared" si="2"/>
        <v>137.99999999999983</v>
      </c>
    </row>
    <row r="41" spans="1:20" x14ac:dyDescent="0.25">
      <c r="A41" s="34"/>
      <c r="B41" s="38"/>
      <c r="C41" s="31"/>
      <c r="D41" s="36"/>
      <c r="E41" s="14"/>
      <c r="F41" s="14"/>
      <c r="G41" s="33"/>
      <c r="H41" s="33"/>
      <c r="I41" s="14"/>
      <c r="J41" s="14"/>
      <c r="L41" s="27">
        <f t="shared" si="3"/>
        <v>138.09999999999982</v>
      </c>
      <c r="M41" s="26">
        <f t="shared" si="6"/>
        <v>55.7</v>
      </c>
      <c r="N41" s="26">
        <f t="shared" si="6"/>
        <v>55.8</v>
      </c>
      <c r="O41" s="26">
        <f t="shared" si="6"/>
        <v>55.9</v>
      </c>
      <c r="P41" s="26">
        <f t="shared" si="6"/>
        <v>56</v>
      </c>
      <c r="Q41" s="26">
        <f t="shared" si="6"/>
        <v>56</v>
      </c>
      <c r="R41" s="26">
        <f t="shared" si="6"/>
        <v>56.1</v>
      </c>
      <c r="S41" s="26">
        <f t="shared" si="6"/>
        <v>56.2</v>
      </c>
      <c r="T41" s="29">
        <f t="shared" si="2"/>
        <v>138.09999999999982</v>
      </c>
    </row>
    <row r="42" spans="1:20" x14ac:dyDescent="0.25">
      <c r="A42" s="34"/>
      <c r="B42" s="38"/>
      <c r="C42" s="39"/>
      <c r="D42" s="36"/>
      <c r="E42" s="14"/>
      <c r="F42" s="14"/>
      <c r="G42" s="33"/>
      <c r="H42" s="33"/>
      <c r="I42" s="14"/>
      <c r="J42" s="14"/>
      <c r="L42" s="27">
        <f t="shared" si="3"/>
        <v>138.19999999999982</v>
      </c>
      <c r="M42" s="26">
        <f t="shared" si="6"/>
        <v>55.7</v>
      </c>
      <c r="N42" s="26">
        <f t="shared" si="6"/>
        <v>55.8</v>
      </c>
      <c r="O42" s="26">
        <f t="shared" si="6"/>
        <v>55.9</v>
      </c>
      <c r="P42" s="26">
        <f t="shared" si="6"/>
        <v>56</v>
      </c>
      <c r="Q42" s="26">
        <f t="shared" si="6"/>
        <v>56</v>
      </c>
      <c r="R42" s="26">
        <f t="shared" si="6"/>
        <v>56.1</v>
      </c>
      <c r="S42" s="26">
        <f t="shared" si="6"/>
        <v>56.2</v>
      </c>
      <c r="T42" s="29">
        <f t="shared" ref="T42:T59" si="7">L42</f>
        <v>138.19999999999982</v>
      </c>
    </row>
    <row r="43" spans="1:20" x14ac:dyDescent="0.25">
      <c r="A43" s="33"/>
      <c r="B43" s="35"/>
      <c r="C43" s="35"/>
      <c r="D43" s="33"/>
      <c r="E43" s="14"/>
      <c r="F43" s="14"/>
      <c r="G43" s="33"/>
      <c r="H43" s="33"/>
      <c r="I43" s="14"/>
      <c r="J43" s="14"/>
      <c r="L43" s="27">
        <f t="shared" ref="L43:L59" si="8">L42+$D$9</f>
        <v>138.29999999999981</v>
      </c>
      <c r="M43" s="26">
        <f t="shared" si="6"/>
        <v>55.7</v>
      </c>
      <c r="N43" s="26">
        <f t="shared" si="6"/>
        <v>55.8</v>
      </c>
      <c r="O43" s="26">
        <f t="shared" si="6"/>
        <v>55.9</v>
      </c>
      <c r="P43" s="26">
        <f t="shared" si="6"/>
        <v>55.9</v>
      </c>
      <c r="Q43" s="26">
        <f t="shared" si="6"/>
        <v>56</v>
      </c>
      <c r="R43" s="26">
        <f t="shared" si="6"/>
        <v>56.1</v>
      </c>
      <c r="S43" s="26">
        <f t="shared" si="6"/>
        <v>56.2</v>
      </c>
      <c r="T43" s="29">
        <f t="shared" si="7"/>
        <v>138.29999999999981</v>
      </c>
    </row>
    <row r="44" spans="1:20" x14ac:dyDescent="0.25">
      <c r="A44" s="34"/>
      <c r="B44" s="33"/>
      <c r="C44" s="33"/>
      <c r="D44" s="33"/>
      <c r="E44" s="14"/>
      <c r="F44" s="14"/>
      <c r="G44" s="33"/>
      <c r="H44" s="33"/>
      <c r="I44" s="14"/>
      <c r="J44" s="14"/>
      <c r="L44" s="27">
        <f t="shared" si="8"/>
        <v>138.39999999999981</v>
      </c>
      <c r="M44" s="26">
        <f t="shared" si="6"/>
        <v>55.7</v>
      </c>
      <c r="N44" s="26">
        <f t="shared" si="6"/>
        <v>55.8</v>
      </c>
      <c r="O44" s="26">
        <f t="shared" si="6"/>
        <v>55.8</v>
      </c>
      <c r="P44" s="26">
        <f t="shared" si="6"/>
        <v>55.9</v>
      </c>
      <c r="Q44" s="26">
        <f t="shared" si="6"/>
        <v>56</v>
      </c>
      <c r="R44" s="26">
        <f t="shared" si="6"/>
        <v>56.1</v>
      </c>
      <c r="S44" s="26">
        <f t="shared" si="6"/>
        <v>56.2</v>
      </c>
      <c r="T44" s="29">
        <f t="shared" si="7"/>
        <v>138.39999999999981</v>
      </c>
    </row>
    <row r="45" spans="1:20" x14ac:dyDescent="0.25">
      <c r="A45" s="34"/>
      <c r="B45" s="33"/>
      <c r="C45" s="14"/>
      <c r="D45" s="33"/>
      <c r="E45" s="14"/>
      <c r="F45" s="14"/>
      <c r="G45" s="33"/>
      <c r="H45" s="33"/>
      <c r="I45" s="14"/>
      <c r="J45" s="14"/>
      <c r="L45" s="27">
        <f t="shared" si="8"/>
        <v>138.4999999999998</v>
      </c>
      <c r="M45" s="26">
        <f t="shared" si="6"/>
        <v>55.7</v>
      </c>
      <c r="N45" s="26">
        <f t="shared" si="6"/>
        <v>55.7</v>
      </c>
      <c r="O45" s="26">
        <f t="shared" si="6"/>
        <v>55.8</v>
      </c>
      <c r="P45" s="26">
        <f t="shared" si="6"/>
        <v>55.9</v>
      </c>
      <c r="Q45" s="26">
        <f t="shared" si="6"/>
        <v>56</v>
      </c>
      <c r="R45" s="26">
        <f t="shared" si="6"/>
        <v>56.1</v>
      </c>
      <c r="S45" s="26">
        <f t="shared" si="6"/>
        <v>56.2</v>
      </c>
      <c r="T45" s="29">
        <f t="shared" si="7"/>
        <v>138.4999999999998</v>
      </c>
    </row>
    <row r="46" spans="1:20" x14ac:dyDescent="0.25">
      <c r="A46" s="34"/>
      <c r="B46" s="35"/>
      <c r="C46" s="36"/>
      <c r="D46" s="13"/>
      <c r="E46" s="13"/>
      <c r="F46" s="13"/>
      <c r="G46" s="14"/>
      <c r="H46" s="14"/>
      <c r="I46" s="14"/>
      <c r="J46" s="14"/>
      <c r="L46" s="27">
        <f t="shared" si="8"/>
        <v>138.5999999999998</v>
      </c>
      <c r="M46" s="26">
        <f t="shared" si="6"/>
        <v>55.6</v>
      </c>
      <c r="N46" s="26">
        <f t="shared" si="6"/>
        <v>55.7</v>
      </c>
      <c r="O46" s="26">
        <f t="shared" si="6"/>
        <v>55.8</v>
      </c>
      <c r="P46" s="26">
        <f t="shared" si="6"/>
        <v>55.9</v>
      </c>
      <c r="Q46" s="26">
        <f t="shared" si="6"/>
        <v>56</v>
      </c>
      <c r="R46" s="26">
        <f t="shared" si="6"/>
        <v>56.1</v>
      </c>
      <c r="S46" s="26">
        <f t="shared" si="6"/>
        <v>56.2</v>
      </c>
      <c r="T46" s="29">
        <f t="shared" si="7"/>
        <v>138.5999999999998</v>
      </c>
    </row>
    <row r="47" spans="1:20" x14ac:dyDescent="0.25">
      <c r="A47" s="34"/>
      <c r="B47" s="35"/>
      <c r="C47" s="13"/>
      <c r="D47" s="13"/>
      <c r="E47" s="13"/>
      <c r="F47" s="13"/>
      <c r="G47" s="14"/>
      <c r="H47" s="14"/>
      <c r="I47" s="14"/>
      <c r="J47" s="14"/>
      <c r="L47" s="27">
        <f t="shared" si="8"/>
        <v>138.69999999999979</v>
      </c>
      <c r="M47" s="26">
        <f t="shared" si="6"/>
        <v>55.6</v>
      </c>
      <c r="N47" s="26">
        <f t="shared" si="6"/>
        <v>55.7</v>
      </c>
      <c r="O47" s="26">
        <f t="shared" si="6"/>
        <v>55.8</v>
      </c>
      <c r="P47" s="26">
        <f t="shared" si="6"/>
        <v>55.9</v>
      </c>
      <c r="Q47" s="26">
        <f t="shared" si="6"/>
        <v>56</v>
      </c>
      <c r="R47" s="26">
        <f t="shared" si="6"/>
        <v>56.1</v>
      </c>
      <c r="S47" s="26">
        <f t="shared" si="6"/>
        <v>56.2</v>
      </c>
      <c r="T47" s="29">
        <f t="shared" si="7"/>
        <v>138.69999999999979</v>
      </c>
    </row>
    <row r="48" spans="1:20" x14ac:dyDescent="0.25">
      <c r="A48" s="33"/>
      <c r="B48" s="35"/>
      <c r="C48" s="13"/>
      <c r="D48" s="14"/>
      <c r="E48" s="14"/>
      <c r="F48" s="14"/>
      <c r="G48" s="14"/>
      <c r="H48" s="14"/>
      <c r="I48" s="14"/>
      <c r="J48" s="14"/>
      <c r="L48" s="27">
        <f t="shared" si="8"/>
        <v>138.79999999999978</v>
      </c>
      <c r="M48" s="26">
        <f t="shared" si="6"/>
        <v>55.6</v>
      </c>
      <c r="N48" s="26">
        <f t="shared" si="6"/>
        <v>55.7</v>
      </c>
      <c r="O48" s="26">
        <f t="shared" si="6"/>
        <v>55.8</v>
      </c>
      <c r="P48" s="26">
        <f t="shared" si="6"/>
        <v>55.9</v>
      </c>
      <c r="Q48" s="26">
        <f t="shared" si="6"/>
        <v>56</v>
      </c>
      <c r="R48" s="26">
        <f t="shared" si="6"/>
        <v>56.1</v>
      </c>
      <c r="S48" s="26">
        <f t="shared" si="6"/>
        <v>56.1</v>
      </c>
      <c r="T48" s="29">
        <f t="shared" si="7"/>
        <v>138.79999999999978</v>
      </c>
    </row>
    <row r="49" spans="1:20" x14ac:dyDescent="0.25">
      <c r="A49" s="33"/>
      <c r="B49" s="35"/>
      <c r="C49" s="14"/>
      <c r="D49" s="14"/>
      <c r="E49" s="14"/>
      <c r="F49" s="14"/>
      <c r="G49" s="14"/>
      <c r="H49" s="14"/>
      <c r="I49" s="14"/>
      <c r="J49" s="14"/>
      <c r="L49" s="27">
        <f t="shared" si="8"/>
        <v>138.89999999999978</v>
      </c>
      <c r="M49" s="26">
        <f t="shared" si="6"/>
        <v>55.6</v>
      </c>
      <c r="N49" s="26">
        <f t="shared" si="6"/>
        <v>55.7</v>
      </c>
      <c r="O49" s="26">
        <f t="shared" si="6"/>
        <v>55.8</v>
      </c>
      <c r="P49" s="26">
        <f t="shared" si="6"/>
        <v>55.9</v>
      </c>
      <c r="Q49" s="26">
        <f t="shared" si="6"/>
        <v>56</v>
      </c>
      <c r="R49" s="26">
        <f t="shared" si="6"/>
        <v>56</v>
      </c>
      <c r="S49" s="26">
        <f t="shared" si="6"/>
        <v>56.1</v>
      </c>
      <c r="T49" s="29">
        <f t="shared" si="7"/>
        <v>138.89999999999978</v>
      </c>
    </row>
    <row r="50" spans="1:20" x14ac:dyDescent="0.25">
      <c r="A50" s="33"/>
      <c r="B50" s="35"/>
      <c r="C50" s="14"/>
      <c r="D50" s="14"/>
      <c r="E50" s="14"/>
      <c r="F50" s="14"/>
      <c r="G50" s="14"/>
      <c r="H50" s="14"/>
      <c r="I50" s="14"/>
      <c r="J50" s="14"/>
      <c r="L50" s="27">
        <f t="shared" si="8"/>
        <v>138.99999999999977</v>
      </c>
      <c r="M50" s="26">
        <f t="shared" ref="M50:S59" si="9">ROUND(DensConv(BaseDens_04(DensConv(M$8,$B$8,"kg/m3"),$L50,0,$E$8,1),"kg/m3",$B$8),$F$8)</f>
        <v>55.6</v>
      </c>
      <c r="N50" s="26">
        <f t="shared" si="9"/>
        <v>55.7</v>
      </c>
      <c r="O50" s="26">
        <f t="shared" si="9"/>
        <v>55.8</v>
      </c>
      <c r="P50" s="26">
        <f t="shared" si="9"/>
        <v>55.9</v>
      </c>
      <c r="Q50" s="26">
        <f t="shared" si="9"/>
        <v>55.9</v>
      </c>
      <c r="R50" s="26">
        <f t="shared" si="9"/>
        <v>56</v>
      </c>
      <c r="S50" s="26">
        <f t="shared" si="9"/>
        <v>56.1</v>
      </c>
      <c r="T50" s="29">
        <f t="shared" si="7"/>
        <v>138.99999999999977</v>
      </c>
    </row>
    <row r="51" spans="1:20" x14ac:dyDescent="0.25">
      <c r="A51" s="33"/>
      <c r="B51" s="35"/>
      <c r="C51" s="14"/>
      <c r="D51" s="14"/>
      <c r="E51" s="14"/>
      <c r="F51" s="14"/>
      <c r="G51" s="14"/>
      <c r="H51" s="14"/>
      <c r="I51" s="14"/>
      <c r="J51" s="14"/>
      <c r="L51" s="27">
        <f t="shared" si="8"/>
        <v>139.09999999999977</v>
      </c>
      <c r="M51" s="26">
        <f t="shared" si="9"/>
        <v>55.6</v>
      </c>
      <c r="N51" s="26">
        <f t="shared" si="9"/>
        <v>55.7</v>
      </c>
      <c r="O51" s="26">
        <f t="shared" si="9"/>
        <v>55.8</v>
      </c>
      <c r="P51" s="26">
        <f t="shared" si="9"/>
        <v>55.9</v>
      </c>
      <c r="Q51" s="26">
        <f t="shared" si="9"/>
        <v>55.9</v>
      </c>
      <c r="R51" s="26">
        <f t="shared" si="9"/>
        <v>56</v>
      </c>
      <c r="S51" s="26">
        <f t="shared" si="9"/>
        <v>56.1</v>
      </c>
      <c r="T51" s="29">
        <f t="shared" si="7"/>
        <v>139.09999999999977</v>
      </c>
    </row>
    <row r="52" spans="1:20" x14ac:dyDescent="0.25">
      <c r="A52" s="33"/>
      <c r="B52" s="14"/>
      <c r="C52" s="14"/>
      <c r="D52" s="14"/>
      <c r="E52" s="14"/>
      <c r="F52" s="14"/>
      <c r="G52" s="14"/>
      <c r="H52" s="14"/>
      <c r="I52" s="14"/>
      <c r="J52" s="14"/>
      <c r="L52" s="27">
        <f t="shared" si="8"/>
        <v>139.19999999999976</v>
      </c>
      <c r="M52" s="26">
        <f t="shared" si="9"/>
        <v>55.6</v>
      </c>
      <c r="N52" s="26">
        <f t="shared" si="9"/>
        <v>55.7</v>
      </c>
      <c r="O52" s="26">
        <f t="shared" si="9"/>
        <v>55.8</v>
      </c>
      <c r="P52" s="26">
        <f t="shared" si="9"/>
        <v>55.8</v>
      </c>
      <c r="Q52" s="26">
        <f t="shared" si="9"/>
        <v>55.9</v>
      </c>
      <c r="R52" s="26">
        <f t="shared" si="9"/>
        <v>56</v>
      </c>
      <c r="S52" s="26">
        <f t="shared" si="9"/>
        <v>56.1</v>
      </c>
      <c r="T52" s="29">
        <f t="shared" si="7"/>
        <v>139.19999999999976</v>
      </c>
    </row>
    <row r="53" spans="1:20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L53" s="27">
        <f t="shared" si="8"/>
        <v>139.29999999999976</v>
      </c>
      <c r="M53" s="26">
        <f t="shared" si="9"/>
        <v>55.6</v>
      </c>
      <c r="N53" s="26">
        <f t="shared" si="9"/>
        <v>55.7</v>
      </c>
      <c r="O53" s="26">
        <f t="shared" si="9"/>
        <v>55.7</v>
      </c>
      <c r="P53" s="26">
        <f t="shared" si="9"/>
        <v>55.8</v>
      </c>
      <c r="Q53" s="26">
        <f t="shared" si="9"/>
        <v>55.9</v>
      </c>
      <c r="R53" s="26">
        <f t="shared" si="9"/>
        <v>56</v>
      </c>
      <c r="S53" s="26">
        <f t="shared" si="9"/>
        <v>56.1</v>
      </c>
      <c r="T53" s="29">
        <f t="shared" si="7"/>
        <v>139.29999999999976</v>
      </c>
    </row>
    <row r="54" spans="1:20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L54" s="27">
        <f t="shared" si="8"/>
        <v>139.39999999999975</v>
      </c>
      <c r="M54" s="26">
        <f t="shared" si="9"/>
        <v>55.6</v>
      </c>
      <c r="N54" s="26">
        <f t="shared" si="9"/>
        <v>55.6</v>
      </c>
      <c r="O54" s="26">
        <f t="shared" si="9"/>
        <v>55.7</v>
      </c>
      <c r="P54" s="26">
        <f t="shared" si="9"/>
        <v>55.8</v>
      </c>
      <c r="Q54" s="26">
        <f t="shared" si="9"/>
        <v>55.9</v>
      </c>
      <c r="R54" s="26">
        <f t="shared" si="9"/>
        <v>56</v>
      </c>
      <c r="S54" s="26">
        <f t="shared" si="9"/>
        <v>56.1</v>
      </c>
      <c r="T54" s="29">
        <f t="shared" si="7"/>
        <v>139.39999999999975</v>
      </c>
    </row>
    <row r="55" spans="1:20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L55" s="27">
        <f t="shared" si="8"/>
        <v>139.49999999999974</v>
      </c>
      <c r="M55" s="26">
        <f t="shared" si="9"/>
        <v>55.5</v>
      </c>
      <c r="N55" s="26">
        <f t="shared" si="9"/>
        <v>55.6</v>
      </c>
      <c r="O55" s="26">
        <f t="shared" si="9"/>
        <v>55.7</v>
      </c>
      <c r="P55" s="26">
        <f t="shared" si="9"/>
        <v>55.8</v>
      </c>
      <c r="Q55" s="26">
        <f t="shared" si="9"/>
        <v>55.9</v>
      </c>
      <c r="R55" s="26">
        <f t="shared" si="9"/>
        <v>56</v>
      </c>
      <c r="S55" s="26">
        <f t="shared" si="9"/>
        <v>56.1</v>
      </c>
      <c r="T55" s="29">
        <f t="shared" si="7"/>
        <v>139.49999999999974</v>
      </c>
    </row>
    <row r="56" spans="1:20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L56" s="27">
        <f t="shared" si="8"/>
        <v>139.59999999999974</v>
      </c>
      <c r="M56" s="26">
        <f t="shared" si="9"/>
        <v>55.5</v>
      </c>
      <c r="N56" s="26">
        <f t="shared" si="9"/>
        <v>55.6</v>
      </c>
      <c r="O56" s="26">
        <f t="shared" si="9"/>
        <v>55.7</v>
      </c>
      <c r="P56" s="26">
        <f t="shared" si="9"/>
        <v>55.8</v>
      </c>
      <c r="Q56" s="26">
        <f t="shared" si="9"/>
        <v>55.9</v>
      </c>
      <c r="R56" s="26">
        <f t="shared" si="9"/>
        <v>56</v>
      </c>
      <c r="S56" s="26">
        <f t="shared" si="9"/>
        <v>56.1</v>
      </c>
      <c r="T56" s="29">
        <f t="shared" si="7"/>
        <v>139.59999999999974</v>
      </c>
    </row>
    <row r="57" spans="1:20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L57" s="27">
        <f t="shared" si="8"/>
        <v>139.69999999999973</v>
      </c>
      <c r="M57" s="26">
        <f t="shared" si="9"/>
        <v>55.5</v>
      </c>
      <c r="N57" s="26">
        <f t="shared" si="9"/>
        <v>55.6</v>
      </c>
      <c r="O57" s="26">
        <f t="shared" si="9"/>
        <v>55.7</v>
      </c>
      <c r="P57" s="26">
        <f t="shared" si="9"/>
        <v>55.8</v>
      </c>
      <c r="Q57" s="26">
        <f t="shared" si="9"/>
        <v>55.9</v>
      </c>
      <c r="R57" s="26">
        <f t="shared" si="9"/>
        <v>56</v>
      </c>
      <c r="S57" s="26">
        <f t="shared" si="9"/>
        <v>56</v>
      </c>
      <c r="T57" s="29">
        <f t="shared" si="7"/>
        <v>139.69999999999973</v>
      </c>
    </row>
    <row r="58" spans="1:20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L58" s="27">
        <f t="shared" si="8"/>
        <v>139.79999999999973</v>
      </c>
      <c r="M58" s="26">
        <f t="shared" si="9"/>
        <v>55.5</v>
      </c>
      <c r="N58" s="26">
        <f t="shared" si="9"/>
        <v>55.6</v>
      </c>
      <c r="O58" s="26">
        <f t="shared" si="9"/>
        <v>55.7</v>
      </c>
      <c r="P58" s="26">
        <f t="shared" si="9"/>
        <v>55.8</v>
      </c>
      <c r="Q58" s="26">
        <f t="shared" si="9"/>
        <v>55.9</v>
      </c>
      <c r="R58" s="26">
        <f t="shared" si="9"/>
        <v>55.9</v>
      </c>
      <c r="S58" s="26">
        <f t="shared" si="9"/>
        <v>56</v>
      </c>
      <c r="T58" s="29">
        <f t="shared" si="7"/>
        <v>139.79999999999973</v>
      </c>
    </row>
    <row r="59" spans="1:20" ht="15.75" thickBot="1" x14ac:dyDescent="0.3">
      <c r="A59" s="14"/>
      <c r="B59" s="14"/>
      <c r="C59" s="14"/>
      <c r="D59" s="14"/>
      <c r="E59" s="14"/>
      <c r="F59" s="14"/>
      <c r="G59" s="14"/>
      <c r="H59" s="14"/>
      <c r="I59" s="14"/>
      <c r="J59" s="14"/>
      <c r="L59" s="28">
        <f t="shared" si="8"/>
        <v>139.89999999999972</v>
      </c>
      <c r="M59" s="81">
        <f t="shared" si="9"/>
        <v>55.5</v>
      </c>
      <c r="N59" s="81">
        <f t="shared" si="9"/>
        <v>55.6</v>
      </c>
      <c r="O59" s="81">
        <f t="shared" si="9"/>
        <v>55.7</v>
      </c>
      <c r="P59" s="81">
        <f t="shared" si="9"/>
        <v>55.8</v>
      </c>
      <c r="Q59" s="81">
        <f t="shared" si="9"/>
        <v>55.8</v>
      </c>
      <c r="R59" s="81">
        <f t="shared" si="9"/>
        <v>55.9</v>
      </c>
      <c r="S59" s="81">
        <f t="shared" si="9"/>
        <v>56</v>
      </c>
      <c r="T59" s="30">
        <f t="shared" si="7"/>
        <v>139.89999999999972</v>
      </c>
    </row>
    <row r="60" spans="1:20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L60" s="67"/>
      <c r="M60" s="26"/>
      <c r="N60" s="26"/>
      <c r="O60" s="26"/>
      <c r="P60" s="26"/>
      <c r="Q60" s="26"/>
      <c r="R60" s="26"/>
      <c r="S60" s="26"/>
      <c r="T60" s="67"/>
    </row>
  </sheetData>
  <sheetProtection algorithmName="SHA-512" hashValue="OQpPSEReMokuHt+zjUUTXZl3JollR/RyVMYXHoEhWpN5xHyVJnDbn+NLxsfs50uEFK5FpHpk/Yhy0Glv/KN1HA==" saltValue="/ylfXHf4zveW2XrtR4F3uA==" spinCount="100000" sheet="1" objects="1" scenarios="1"/>
  <dataConsolidate/>
  <mergeCells count="27">
    <mergeCell ref="A6:I6"/>
    <mergeCell ref="B36:J36"/>
    <mergeCell ref="B37:J37"/>
    <mergeCell ref="B29:J29"/>
    <mergeCell ref="B24:J24"/>
    <mergeCell ref="B25:J25"/>
    <mergeCell ref="B26:J26"/>
    <mergeCell ref="B27:J27"/>
    <mergeCell ref="B28:J28"/>
    <mergeCell ref="B35:J35"/>
    <mergeCell ref="B30:J30"/>
    <mergeCell ref="B31:J31"/>
    <mergeCell ref="B32:J32"/>
    <mergeCell ref="B33:J33"/>
    <mergeCell ref="B34:J34"/>
    <mergeCell ref="B23:J23"/>
    <mergeCell ref="B12:J12"/>
    <mergeCell ref="B13:J13"/>
    <mergeCell ref="B14:J14"/>
    <mergeCell ref="B15:J15"/>
    <mergeCell ref="B16:J16"/>
    <mergeCell ref="B22:J22"/>
    <mergeCell ref="B17:J17"/>
    <mergeCell ref="B18:J18"/>
    <mergeCell ref="B19:J19"/>
    <mergeCell ref="B20:J20"/>
    <mergeCell ref="B21:J21"/>
  </mergeCells>
  <dataValidations count="2">
    <dataValidation type="list" allowBlank="1" showInputMessage="1" showErrorMessage="1" prompt="Select Table Here" sqref="A6" xr:uid="{00000000-0002-0000-0000-000000000000}">
      <formula1>Tables</formula1>
    </dataValidation>
    <dataValidation allowBlank="1" showInputMessage="1" showErrorMessage="1" prompt="Adjust Parameters as necessary" sqref="C8:D9" xr:uid="{00000000-0002-0000-0000-000001000000}"/>
  </dataValidations>
  <pageMargins left="0.70866141732283472" right="0.70866141732283472" top="0.74803149606299213" bottom="0.74803149606299213" header="0.31496062992125984" footer="0.31496062992125984"/>
  <pageSetup paperSize="9" scale="85" orientation="portrait" r:id="rId1"/>
  <colBreaks count="1" manualBreakCount="1">
    <brk id="10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U60"/>
  <sheetViews>
    <sheetView showGridLines="0" view="pageLayout" zoomScaleNormal="100" zoomScaleSheetLayoutView="100" workbookViewId="0">
      <selection activeCell="C1" sqref="C1"/>
    </sheetView>
  </sheetViews>
  <sheetFormatPr defaultRowHeight="15" x14ac:dyDescent="0.25"/>
  <cols>
    <col min="1" max="1" width="14" customWidth="1"/>
    <col min="2" max="2" width="10" customWidth="1"/>
    <col min="3" max="3" width="11.140625" customWidth="1"/>
    <col min="4" max="4" width="11.5703125" customWidth="1"/>
    <col min="5" max="5" width="10.7109375" customWidth="1"/>
    <col min="6" max="9" width="10" customWidth="1"/>
    <col min="10" max="10" width="4.85546875" customWidth="1"/>
    <col min="11" max="11" width="6" customWidth="1"/>
    <col min="12" max="12" width="10.7109375" customWidth="1"/>
    <col min="13" max="19" width="9.42578125" bestFit="1" customWidth="1"/>
  </cols>
  <sheetData>
    <row r="1" spans="1:21" x14ac:dyDescent="0.25">
      <c r="A1" s="56" t="s">
        <v>73</v>
      </c>
      <c r="B1" s="57" t="s">
        <v>67</v>
      </c>
      <c r="C1" s="58"/>
      <c r="D1" s="58"/>
      <c r="E1" s="59"/>
      <c r="F1" s="59"/>
      <c r="G1" s="59"/>
      <c r="H1" s="59"/>
      <c r="I1" s="59"/>
      <c r="J1" s="59"/>
      <c r="L1" s="56" t="s">
        <v>73</v>
      </c>
      <c r="M1" s="57" t="s">
        <v>67</v>
      </c>
      <c r="N1" s="58"/>
      <c r="O1" s="58"/>
      <c r="P1" s="59"/>
      <c r="Q1" s="59"/>
      <c r="R1" s="59"/>
      <c r="S1" s="59"/>
      <c r="T1" s="59"/>
      <c r="U1" s="59"/>
    </row>
    <row r="2" spans="1:21" x14ac:dyDescent="0.25">
      <c r="A2" s="60" t="s">
        <v>66</v>
      </c>
      <c r="B2" s="61" t="s">
        <v>72</v>
      </c>
      <c r="E2" s="62"/>
      <c r="F2" s="62"/>
      <c r="G2" s="62"/>
      <c r="H2" s="62"/>
      <c r="I2" s="62"/>
      <c r="J2" s="62"/>
      <c r="L2" s="60" t="s">
        <v>66</v>
      </c>
      <c r="M2" s="61" t="s">
        <v>72</v>
      </c>
      <c r="P2" s="62"/>
      <c r="Q2" s="62"/>
      <c r="R2" s="62"/>
      <c r="S2" s="62"/>
      <c r="T2" s="62"/>
      <c r="U2" s="62"/>
    </row>
    <row r="3" spans="1:21" x14ac:dyDescent="0.25">
      <c r="E3" s="63"/>
      <c r="F3" s="63"/>
      <c r="G3" s="63"/>
      <c r="H3" s="63"/>
      <c r="I3" s="63"/>
      <c r="J3" s="63"/>
      <c r="P3" s="63"/>
      <c r="Q3" s="63"/>
      <c r="R3" s="63"/>
      <c r="S3" s="63"/>
      <c r="T3" s="63"/>
      <c r="U3" s="63"/>
    </row>
    <row r="4" spans="1:21" x14ac:dyDescent="0.25">
      <c r="A4" s="64"/>
      <c r="B4" s="64"/>
      <c r="C4" s="64"/>
      <c r="D4" s="64"/>
      <c r="E4" s="65"/>
      <c r="F4" s="65"/>
      <c r="G4" s="65"/>
      <c r="H4" s="65"/>
      <c r="I4" s="65"/>
      <c r="J4" s="65"/>
      <c r="L4" s="64"/>
      <c r="M4" s="64"/>
      <c r="N4" s="64"/>
      <c r="O4" s="64"/>
      <c r="P4" s="65"/>
      <c r="Q4" s="65"/>
      <c r="R4" s="65"/>
      <c r="S4" s="65"/>
      <c r="T4" s="65"/>
      <c r="U4" s="65"/>
    </row>
    <row r="5" spans="1:21" ht="15.75" thickBot="1" x14ac:dyDescent="0.3"/>
    <row r="6" spans="1:21" x14ac:dyDescent="0.25">
      <c r="A6" s="90" t="s">
        <v>7</v>
      </c>
      <c r="B6" s="91"/>
      <c r="C6" s="91"/>
      <c r="D6" s="91"/>
      <c r="E6" s="91"/>
      <c r="F6" s="91"/>
      <c r="G6" s="91"/>
      <c r="H6" s="91"/>
      <c r="I6" s="91"/>
      <c r="J6" s="66"/>
      <c r="L6" s="68" t="s">
        <v>7</v>
      </c>
      <c r="M6" s="15"/>
      <c r="N6" s="24"/>
      <c r="O6" s="15"/>
      <c r="P6" s="15"/>
      <c r="Q6" s="15"/>
      <c r="R6" s="15"/>
      <c r="S6" s="15"/>
      <c r="T6" s="69"/>
    </row>
    <row r="7" spans="1:21" x14ac:dyDescent="0.25">
      <c r="A7" s="7" t="s">
        <v>4</v>
      </c>
      <c r="B7" s="6" t="s">
        <v>3</v>
      </c>
      <c r="C7" s="6" t="s">
        <v>2</v>
      </c>
      <c r="D7" s="5" t="s">
        <v>1</v>
      </c>
      <c r="E7" s="5" t="s">
        <v>0</v>
      </c>
      <c r="F7" s="6" t="s">
        <v>31</v>
      </c>
      <c r="G7" s="4"/>
      <c r="I7" s="8"/>
      <c r="J7" s="3"/>
      <c r="L7" s="70"/>
      <c r="M7" s="18"/>
      <c r="N7" s="19"/>
      <c r="O7" s="19"/>
      <c r="P7" s="25" t="s">
        <v>64</v>
      </c>
      <c r="Q7" s="18"/>
      <c r="R7" s="18"/>
      <c r="S7" s="18"/>
      <c r="T7" s="71"/>
    </row>
    <row r="8" spans="1:21" x14ac:dyDescent="0.25">
      <c r="A8" s="43" t="s">
        <v>27</v>
      </c>
      <c r="B8" s="44" t="s">
        <v>62</v>
      </c>
      <c r="C8" s="82">
        <v>65</v>
      </c>
      <c r="D8" s="82">
        <v>0.1</v>
      </c>
      <c r="E8" s="82" t="s">
        <v>71</v>
      </c>
      <c r="F8" s="82">
        <v>1</v>
      </c>
      <c r="G8" s="45"/>
      <c r="H8" s="14"/>
      <c r="I8" s="46"/>
      <c r="J8" s="47"/>
      <c r="L8" s="72" t="str">
        <f>B9</f>
        <v>°F</v>
      </c>
      <c r="M8" s="6">
        <f>C8</f>
        <v>65</v>
      </c>
      <c r="N8" s="6">
        <f t="shared" ref="N8:S8" si="0">M8+$D$8</f>
        <v>65.099999999999994</v>
      </c>
      <c r="O8" s="6">
        <f t="shared" si="0"/>
        <v>65.199999999999989</v>
      </c>
      <c r="P8" s="6">
        <f t="shared" si="0"/>
        <v>65.299999999999983</v>
      </c>
      <c r="Q8" s="6">
        <f t="shared" si="0"/>
        <v>65.399999999999977</v>
      </c>
      <c r="R8" s="6">
        <f t="shared" si="0"/>
        <v>65.499999999999972</v>
      </c>
      <c r="S8" s="6">
        <f t="shared" si="0"/>
        <v>65.599999999999966</v>
      </c>
      <c r="T8" s="73" t="str">
        <f>B9</f>
        <v>°F</v>
      </c>
    </row>
    <row r="9" spans="1:21" x14ac:dyDescent="0.25">
      <c r="A9" s="48" t="s">
        <v>28</v>
      </c>
      <c r="B9" s="49" t="s">
        <v>63</v>
      </c>
      <c r="C9" s="83">
        <v>135</v>
      </c>
      <c r="D9" s="83">
        <v>0.1</v>
      </c>
      <c r="E9" s="84"/>
      <c r="F9" s="83"/>
      <c r="G9" s="2"/>
      <c r="H9" s="2"/>
      <c r="I9" s="9"/>
      <c r="J9" s="1"/>
      <c r="L9" s="74"/>
      <c r="M9" s="18"/>
      <c r="N9" s="18"/>
      <c r="O9" s="18"/>
      <c r="P9" s="25" t="s">
        <v>65</v>
      </c>
      <c r="Q9" s="18"/>
      <c r="R9" s="18"/>
      <c r="S9" s="18"/>
      <c r="T9" s="71"/>
    </row>
    <row r="10" spans="1:21" ht="15.75" thickBot="1" x14ac:dyDescent="0.3">
      <c r="A10" s="14"/>
      <c r="B10" s="14"/>
      <c r="C10" s="14"/>
      <c r="D10" s="14"/>
      <c r="E10" s="14"/>
      <c r="F10" s="14"/>
      <c r="G10" s="14"/>
      <c r="H10" s="14"/>
      <c r="I10" s="14"/>
      <c r="J10" s="14"/>
      <c r="L10" s="75">
        <f>C9</f>
        <v>135</v>
      </c>
      <c r="M10" s="26">
        <f t="shared" ref="M10:S19" si="1">ROUND(DensConv_80(BaseDens_80(DensConv_80(M$8,$B$8,"kg/m3"),$L10,0,$E$8,1),"kg/m3",$B$8),$F$8)</f>
        <v>56</v>
      </c>
      <c r="N10" s="26">
        <f t="shared" si="1"/>
        <v>56.1</v>
      </c>
      <c r="O10" s="26">
        <f t="shared" si="1"/>
        <v>56.2</v>
      </c>
      <c r="P10" s="26">
        <f t="shared" si="1"/>
        <v>56.3</v>
      </c>
      <c r="Q10" s="26">
        <f t="shared" si="1"/>
        <v>56.4</v>
      </c>
      <c r="R10" s="26">
        <f t="shared" si="1"/>
        <v>56.5</v>
      </c>
      <c r="S10" s="26">
        <f t="shared" si="1"/>
        <v>56.6</v>
      </c>
      <c r="T10" s="76">
        <f t="shared" ref="T10:T59" si="2">L10</f>
        <v>135</v>
      </c>
    </row>
    <row r="11" spans="1:21" x14ac:dyDescent="0.25">
      <c r="A11" s="50" t="s">
        <v>5</v>
      </c>
      <c r="B11" s="79" t="s">
        <v>60</v>
      </c>
      <c r="C11" s="51"/>
      <c r="D11" s="51"/>
      <c r="E11" s="51"/>
      <c r="F11" s="51"/>
      <c r="G11" s="51"/>
      <c r="H11" s="51"/>
      <c r="I11" s="51"/>
      <c r="J11" s="52"/>
      <c r="L11" s="75">
        <f t="shared" ref="L11:L59" si="3">L10+$D$9</f>
        <v>135.1</v>
      </c>
      <c r="M11" s="26">
        <f t="shared" si="1"/>
        <v>56</v>
      </c>
      <c r="N11" s="26">
        <f t="shared" si="1"/>
        <v>56.1</v>
      </c>
      <c r="O11" s="26">
        <f t="shared" si="1"/>
        <v>56.2</v>
      </c>
      <c r="P11" s="26">
        <f t="shared" si="1"/>
        <v>56.3</v>
      </c>
      <c r="Q11" s="26">
        <f t="shared" si="1"/>
        <v>56.4</v>
      </c>
      <c r="R11" s="26">
        <f t="shared" si="1"/>
        <v>56.5</v>
      </c>
      <c r="S11" s="26">
        <f t="shared" si="1"/>
        <v>56.6</v>
      </c>
      <c r="T11" s="76">
        <f t="shared" si="2"/>
        <v>135.1</v>
      </c>
    </row>
    <row r="12" spans="1:21" x14ac:dyDescent="0.25">
      <c r="A12" s="54" t="s">
        <v>7</v>
      </c>
      <c r="B12" s="89" t="s">
        <v>6</v>
      </c>
      <c r="C12" s="86"/>
      <c r="D12" s="86"/>
      <c r="E12" s="86"/>
      <c r="F12" s="86"/>
      <c r="G12" s="86"/>
      <c r="H12" s="86"/>
      <c r="I12" s="86"/>
      <c r="J12" s="87"/>
      <c r="L12" s="75">
        <f t="shared" si="3"/>
        <v>135.19999999999999</v>
      </c>
      <c r="M12" s="26">
        <f t="shared" si="1"/>
        <v>56</v>
      </c>
      <c r="N12" s="26">
        <f t="shared" si="1"/>
        <v>56.1</v>
      </c>
      <c r="O12" s="26">
        <f t="shared" si="1"/>
        <v>56.2</v>
      </c>
      <c r="P12" s="26">
        <f t="shared" si="1"/>
        <v>56.3</v>
      </c>
      <c r="Q12" s="26">
        <f t="shared" si="1"/>
        <v>56.4</v>
      </c>
      <c r="R12" s="26">
        <f t="shared" si="1"/>
        <v>56.5</v>
      </c>
      <c r="S12" s="26">
        <f t="shared" si="1"/>
        <v>56.5</v>
      </c>
      <c r="T12" s="76">
        <f t="shared" si="2"/>
        <v>135.19999999999999</v>
      </c>
    </row>
    <row r="13" spans="1:21" x14ac:dyDescent="0.25">
      <c r="A13" s="11" t="s">
        <v>9</v>
      </c>
      <c r="B13" s="85" t="s">
        <v>8</v>
      </c>
      <c r="C13" s="86"/>
      <c r="D13" s="86"/>
      <c r="E13" s="86"/>
      <c r="F13" s="86"/>
      <c r="G13" s="86"/>
      <c r="H13" s="86"/>
      <c r="I13" s="86"/>
      <c r="J13" s="87"/>
      <c r="L13" s="75">
        <f t="shared" si="3"/>
        <v>135.29999999999998</v>
      </c>
      <c r="M13" s="26">
        <f t="shared" si="1"/>
        <v>56</v>
      </c>
      <c r="N13" s="26">
        <f t="shared" si="1"/>
        <v>56.1</v>
      </c>
      <c r="O13" s="26">
        <f t="shared" si="1"/>
        <v>56.2</v>
      </c>
      <c r="P13" s="26">
        <f t="shared" si="1"/>
        <v>56.3</v>
      </c>
      <c r="Q13" s="26">
        <f t="shared" si="1"/>
        <v>56.4</v>
      </c>
      <c r="R13" s="26">
        <f t="shared" si="1"/>
        <v>56.4</v>
      </c>
      <c r="S13" s="26">
        <f t="shared" si="1"/>
        <v>56.5</v>
      </c>
      <c r="T13" s="76">
        <f t="shared" si="2"/>
        <v>135.29999999999998</v>
      </c>
    </row>
    <row r="14" spans="1:21" x14ac:dyDescent="0.25">
      <c r="A14" s="55" t="s">
        <v>11</v>
      </c>
      <c r="B14" s="88" t="s">
        <v>10</v>
      </c>
      <c r="C14" s="86"/>
      <c r="D14" s="86"/>
      <c r="E14" s="86"/>
      <c r="F14" s="86"/>
      <c r="G14" s="86"/>
      <c r="H14" s="86"/>
      <c r="I14" s="86"/>
      <c r="J14" s="87"/>
      <c r="L14" s="75">
        <f t="shared" si="3"/>
        <v>135.39999999999998</v>
      </c>
      <c r="M14" s="26">
        <f t="shared" si="1"/>
        <v>56</v>
      </c>
      <c r="N14" s="26">
        <f t="shared" si="1"/>
        <v>56.1</v>
      </c>
      <c r="O14" s="26">
        <f t="shared" si="1"/>
        <v>56.2</v>
      </c>
      <c r="P14" s="26">
        <f t="shared" si="1"/>
        <v>56.3</v>
      </c>
      <c r="Q14" s="26">
        <f t="shared" si="1"/>
        <v>56.3</v>
      </c>
      <c r="R14" s="26">
        <f t="shared" si="1"/>
        <v>56.4</v>
      </c>
      <c r="S14" s="26">
        <f t="shared" si="1"/>
        <v>56.5</v>
      </c>
      <c r="T14" s="76">
        <f t="shared" si="2"/>
        <v>135.39999999999998</v>
      </c>
    </row>
    <row r="15" spans="1:21" x14ac:dyDescent="0.25">
      <c r="A15" s="53" t="s">
        <v>13</v>
      </c>
      <c r="B15" s="92" t="s">
        <v>12</v>
      </c>
      <c r="C15" s="93"/>
      <c r="D15" s="93"/>
      <c r="E15" s="93"/>
      <c r="F15" s="93"/>
      <c r="G15" s="93"/>
      <c r="H15" s="93"/>
      <c r="I15" s="93"/>
      <c r="J15" s="94"/>
      <c r="L15" s="75">
        <f t="shared" si="3"/>
        <v>135.49999999999997</v>
      </c>
      <c r="M15" s="26">
        <f t="shared" si="1"/>
        <v>56</v>
      </c>
      <c r="N15" s="26">
        <f t="shared" si="1"/>
        <v>56.1</v>
      </c>
      <c r="O15" s="26">
        <f t="shared" si="1"/>
        <v>56.2</v>
      </c>
      <c r="P15" s="26">
        <f t="shared" si="1"/>
        <v>56.2</v>
      </c>
      <c r="Q15" s="26">
        <f t="shared" si="1"/>
        <v>56.3</v>
      </c>
      <c r="R15" s="26">
        <f t="shared" si="1"/>
        <v>56.4</v>
      </c>
      <c r="S15" s="26">
        <f t="shared" si="1"/>
        <v>56.5</v>
      </c>
      <c r="T15" s="76">
        <f t="shared" si="2"/>
        <v>135.49999999999997</v>
      </c>
    </row>
    <row r="16" spans="1:21" x14ac:dyDescent="0.25">
      <c r="A16" s="53" t="s">
        <v>14</v>
      </c>
      <c r="B16" s="92" t="s">
        <v>15</v>
      </c>
      <c r="C16" s="93"/>
      <c r="D16" s="93"/>
      <c r="E16" s="93"/>
      <c r="F16" s="93"/>
      <c r="G16" s="93"/>
      <c r="H16" s="93"/>
      <c r="I16" s="93"/>
      <c r="J16" s="94"/>
      <c r="L16" s="75">
        <f t="shared" si="3"/>
        <v>135.59999999999997</v>
      </c>
      <c r="M16" s="26">
        <f t="shared" si="1"/>
        <v>56</v>
      </c>
      <c r="N16" s="26">
        <f t="shared" si="1"/>
        <v>56.1</v>
      </c>
      <c r="O16" s="26">
        <f t="shared" si="1"/>
        <v>56.2</v>
      </c>
      <c r="P16" s="26">
        <f t="shared" si="1"/>
        <v>56.2</v>
      </c>
      <c r="Q16" s="26">
        <f t="shared" si="1"/>
        <v>56.3</v>
      </c>
      <c r="R16" s="26">
        <f t="shared" si="1"/>
        <v>56.4</v>
      </c>
      <c r="S16" s="26">
        <f t="shared" si="1"/>
        <v>56.5</v>
      </c>
      <c r="T16" s="76">
        <f t="shared" si="2"/>
        <v>135.59999999999997</v>
      </c>
    </row>
    <row r="17" spans="1:20" x14ac:dyDescent="0.25">
      <c r="A17" s="53" t="s">
        <v>16</v>
      </c>
      <c r="B17" s="92" t="s">
        <v>17</v>
      </c>
      <c r="C17" s="93"/>
      <c r="D17" s="93"/>
      <c r="E17" s="93"/>
      <c r="F17" s="93"/>
      <c r="G17" s="93"/>
      <c r="H17" s="93"/>
      <c r="I17" s="93"/>
      <c r="J17" s="94"/>
      <c r="L17" s="75">
        <f t="shared" si="3"/>
        <v>135.69999999999996</v>
      </c>
      <c r="M17" s="26">
        <f t="shared" si="1"/>
        <v>56</v>
      </c>
      <c r="N17" s="26">
        <f t="shared" si="1"/>
        <v>56.1</v>
      </c>
      <c r="O17" s="26">
        <f t="shared" si="1"/>
        <v>56.1</v>
      </c>
      <c r="P17" s="26">
        <f t="shared" si="1"/>
        <v>56.2</v>
      </c>
      <c r="Q17" s="26">
        <f t="shared" si="1"/>
        <v>56.3</v>
      </c>
      <c r="R17" s="26">
        <f t="shared" si="1"/>
        <v>56.4</v>
      </c>
      <c r="S17" s="26">
        <f t="shared" si="1"/>
        <v>56.5</v>
      </c>
      <c r="T17" s="76">
        <f t="shared" si="2"/>
        <v>135.69999999999996</v>
      </c>
    </row>
    <row r="18" spans="1:20" x14ac:dyDescent="0.25">
      <c r="A18" s="55" t="s">
        <v>19</v>
      </c>
      <c r="B18" s="88" t="s">
        <v>18</v>
      </c>
      <c r="C18" s="86"/>
      <c r="D18" s="86"/>
      <c r="E18" s="86"/>
      <c r="F18" s="86"/>
      <c r="G18" s="86"/>
      <c r="H18" s="86"/>
      <c r="I18" s="86"/>
      <c r="J18" s="87"/>
      <c r="L18" s="75">
        <f t="shared" si="3"/>
        <v>135.79999999999995</v>
      </c>
      <c r="M18" s="26">
        <f t="shared" si="1"/>
        <v>56</v>
      </c>
      <c r="N18" s="26">
        <f t="shared" si="1"/>
        <v>56</v>
      </c>
      <c r="O18" s="26">
        <f t="shared" si="1"/>
        <v>56.1</v>
      </c>
      <c r="P18" s="26">
        <f t="shared" si="1"/>
        <v>56.2</v>
      </c>
      <c r="Q18" s="26">
        <f t="shared" si="1"/>
        <v>56.3</v>
      </c>
      <c r="R18" s="26">
        <f t="shared" si="1"/>
        <v>56.4</v>
      </c>
      <c r="S18" s="26">
        <f t="shared" si="1"/>
        <v>56.5</v>
      </c>
      <c r="T18" s="76">
        <f t="shared" si="2"/>
        <v>135.79999999999995</v>
      </c>
    </row>
    <row r="19" spans="1:20" x14ac:dyDescent="0.25">
      <c r="A19" s="11" t="s">
        <v>21</v>
      </c>
      <c r="B19" s="85" t="s">
        <v>20</v>
      </c>
      <c r="C19" s="86"/>
      <c r="D19" s="86"/>
      <c r="E19" s="86"/>
      <c r="F19" s="86"/>
      <c r="G19" s="86"/>
      <c r="H19" s="86"/>
      <c r="I19" s="86"/>
      <c r="J19" s="87"/>
      <c r="L19" s="75">
        <f t="shared" si="3"/>
        <v>135.89999999999995</v>
      </c>
      <c r="M19" s="26">
        <f t="shared" si="1"/>
        <v>55.9</v>
      </c>
      <c r="N19" s="26">
        <f t="shared" si="1"/>
        <v>56</v>
      </c>
      <c r="O19" s="26">
        <f t="shared" si="1"/>
        <v>56.1</v>
      </c>
      <c r="P19" s="26">
        <f t="shared" si="1"/>
        <v>56.2</v>
      </c>
      <c r="Q19" s="26">
        <f t="shared" si="1"/>
        <v>56.3</v>
      </c>
      <c r="R19" s="26">
        <f t="shared" si="1"/>
        <v>56.4</v>
      </c>
      <c r="S19" s="26">
        <f t="shared" si="1"/>
        <v>56.5</v>
      </c>
      <c r="T19" s="76">
        <f t="shared" si="2"/>
        <v>135.89999999999995</v>
      </c>
    </row>
    <row r="20" spans="1:20" x14ac:dyDescent="0.25">
      <c r="A20" s="55" t="s">
        <v>22</v>
      </c>
      <c r="B20" s="88" t="s">
        <v>26</v>
      </c>
      <c r="C20" s="86"/>
      <c r="D20" s="86"/>
      <c r="E20" s="86"/>
      <c r="F20" s="86"/>
      <c r="G20" s="86"/>
      <c r="H20" s="86"/>
      <c r="I20" s="86"/>
      <c r="J20" s="87"/>
      <c r="L20" s="75">
        <f t="shared" si="3"/>
        <v>135.99999999999994</v>
      </c>
      <c r="M20" s="26">
        <f t="shared" ref="M20:S29" si="4">ROUND(DensConv_80(BaseDens_80(DensConv_80(M$8,$B$8,"kg/m3"),$L20,0,$E$8,1),"kg/m3",$B$8),$F$8)</f>
        <v>55.9</v>
      </c>
      <c r="N20" s="26">
        <f t="shared" si="4"/>
        <v>56</v>
      </c>
      <c r="O20" s="26">
        <f t="shared" si="4"/>
        <v>56.1</v>
      </c>
      <c r="P20" s="26">
        <f t="shared" si="4"/>
        <v>56.2</v>
      </c>
      <c r="Q20" s="26">
        <f t="shared" si="4"/>
        <v>56.3</v>
      </c>
      <c r="R20" s="26">
        <f t="shared" si="4"/>
        <v>56.4</v>
      </c>
      <c r="S20" s="26">
        <f t="shared" si="4"/>
        <v>56.5</v>
      </c>
      <c r="T20" s="76">
        <f t="shared" si="2"/>
        <v>135.99999999999994</v>
      </c>
    </row>
    <row r="21" spans="1:20" x14ac:dyDescent="0.25">
      <c r="A21" s="55" t="s">
        <v>29</v>
      </c>
      <c r="B21" s="88" t="s">
        <v>24</v>
      </c>
      <c r="C21" s="86"/>
      <c r="D21" s="86"/>
      <c r="E21" s="86"/>
      <c r="F21" s="86"/>
      <c r="G21" s="86"/>
      <c r="H21" s="86"/>
      <c r="I21" s="86"/>
      <c r="J21" s="87"/>
      <c r="L21" s="75">
        <f t="shared" si="3"/>
        <v>136.09999999999994</v>
      </c>
      <c r="M21" s="26">
        <f t="shared" si="4"/>
        <v>55.9</v>
      </c>
      <c r="N21" s="26">
        <f t="shared" si="4"/>
        <v>56</v>
      </c>
      <c r="O21" s="26">
        <f t="shared" si="4"/>
        <v>56.1</v>
      </c>
      <c r="P21" s="26">
        <f t="shared" si="4"/>
        <v>56.2</v>
      </c>
      <c r="Q21" s="26">
        <f t="shared" si="4"/>
        <v>56.3</v>
      </c>
      <c r="R21" s="26">
        <f t="shared" si="4"/>
        <v>56.4</v>
      </c>
      <c r="S21" s="26">
        <f t="shared" si="4"/>
        <v>56.4</v>
      </c>
      <c r="T21" s="76">
        <f t="shared" si="2"/>
        <v>136.09999999999994</v>
      </c>
    </row>
    <row r="22" spans="1:20" x14ac:dyDescent="0.25">
      <c r="A22" s="11" t="s">
        <v>23</v>
      </c>
      <c r="B22" s="85" t="s">
        <v>25</v>
      </c>
      <c r="C22" s="86"/>
      <c r="D22" s="86"/>
      <c r="E22" s="86"/>
      <c r="F22" s="86"/>
      <c r="G22" s="86"/>
      <c r="H22" s="86"/>
      <c r="I22" s="86"/>
      <c r="J22" s="87"/>
      <c r="L22" s="75">
        <f t="shared" si="3"/>
        <v>136.19999999999993</v>
      </c>
      <c r="M22" s="26">
        <f t="shared" si="4"/>
        <v>55.9</v>
      </c>
      <c r="N22" s="26">
        <f t="shared" si="4"/>
        <v>56</v>
      </c>
      <c r="O22" s="26">
        <f t="shared" si="4"/>
        <v>56.1</v>
      </c>
      <c r="P22" s="26">
        <f t="shared" si="4"/>
        <v>56.2</v>
      </c>
      <c r="Q22" s="26">
        <f t="shared" si="4"/>
        <v>56.3</v>
      </c>
      <c r="R22" s="26">
        <f t="shared" si="4"/>
        <v>56.3</v>
      </c>
      <c r="S22" s="26">
        <f t="shared" si="4"/>
        <v>56.4</v>
      </c>
      <c r="T22" s="76">
        <f t="shared" si="2"/>
        <v>136.19999999999993</v>
      </c>
    </row>
    <row r="23" spans="1:20" x14ac:dyDescent="0.25">
      <c r="A23" s="11" t="s">
        <v>30</v>
      </c>
      <c r="B23" s="85" t="s">
        <v>32</v>
      </c>
      <c r="C23" s="86"/>
      <c r="D23" s="86"/>
      <c r="E23" s="86"/>
      <c r="F23" s="86"/>
      <c r="G23" s="86"/>
      <c r="H23" s="86"/>
      <c r="I23" s="86"/>
      <c r="J23" s="87"/>
      <c r="L23" s="75">
        <f t="shared" si="3"/>
        <v>136.29999999999993</v>
      </c>
      <c r="M23" s="26">
        <f t="shared" si="4"/>
        <v>55.9</v>
      </c>
      <c r="N23" s="26">
        <f t="shared" si="4"/>
        <v>56</v>
      </c>
      <c r="O23" s="26">
        <f t="shared" si="4"/>
        <v>56.1</v>
      </c>
      <c r="P23" s="26">
        <f t="shared" si="4"/>
        <v>56.2</v>
      </c>
      <c r="Q23" s="26">
        <f t="shared" si="4"/>
        <v>56.2</v>
      </c>
      <c r="R23" s="26">
        <f t="shared" si="4"/>
        <v>56.3</v>
      </c>
      <c r="S23" s="26">
        <f t="shared" si="4"/>
        <v>56.4</v>
      </c>
      <c r="T23" s="76">
        <f t="shared" si="2"/>
        <v>136.29999999999993</v>
      </c>
    </row>
    <row r="24" spans="1:20" x14ac:dyDescent="0.25">
      <c r="A24" s="55" t="s">
        <v>33</v>
      </c>
      <c r="B24" s="88" t="s">
        <v>37</v>
      </c>
      <c r="C24" s="86"/>
      <c r="D24" s="86"/>
      <c r="E24" s="86"/>
      <c r="F24" s="86"/>
      <c r="G24" s="86"/>
      <c r="H24" s="86"/>
      <c r="I24" s="86"/>
      <c r="J24" s="87"/>
      <c r="L24" s="75">
        <f t="shared" si="3"/>
        <v>136.39999999999992</v>
      </c>
      <c r="M24" s="26">
        <f t="shared" si="4"/>
        <v>55.9</v>
      </c>
      <c r="N24" s="26">
        <f t="shared" si="4"/>
        <v>56</v>
      </c>
      <c r="O24" s="26">
        <f t="shared" si="4"/>
        <v>56.1</v>
      </c>
      <c r="P24" s="26">
        <f t="shared" si="4"/>
        <v>56.2</v>
      </c>
      <c r="Q24" s="26">
        <f t="shared" si="4"/>
        <v>56.2</v>
      </c>
      <c r="R24" s="26">
        <f t="shared" si="4"/>
        <v>56.3</v>
      </c>
      <c r="S24" s="26">
        <f t="shared" si="4"/>
        <v>56.4</v>
      </c>
      <c r="T24" s="76">
        <f t="shared" si="2"/>
        <v>136.39999999999992</v>
      </c>
    </row>
    <row r="25" spans="1:20" x14ac:dyDescent="0.25">
      <c r="A25" s="55" t="s">
        <v>35</v>
      </c>
      <c r="B25" s="88" t="s">
        <v>34</v>
      </c>
      <c r="C25" s="86"/>
      <c r="D25" s="86"/>
      <c r="E25" s="86"/>
      <c r="F25" s="86"/>
      <c r="G25" s="86"/>
      <c r="H25" s="86"/>
      <c r="I25" s="86"/>
      <c r="J25" s="87"/>
      <c r="L25" s="75">
        <f t="shared" si="3"/>
        <v>136.49999999999991</v>
      </c>
      <c r="M25" s="26">
        <f t="shared" si="4"/>
        <v>55.9</v>
      </c>
      <c r="N25" s="26">
        <f t="shared" si="4"/>
        <v>56</v>
      </c>
      <c r="O25" s="26">
        <f t="shared" si="4"/>
        <v>56.1</v>
      </c>
      <c r="P25" s="26">
        <f t="shared" si="4"/>
        <v>56.1</v>
      </c>
      <c r="Q25" s="26">
        <f t="shared" si="4"/>
        <v>56.2</v>
      </c>
      <c r="R25" s="26">
        <f t="shared" si="4"/>
        <v>56.3</v>
      </c>
      <c r="S25" s="26">
        <f t="shared" si="4"/>
        <v>56.4</v>
      </c>
      <c r="T25" s="76">
        <f t="shared" si="2"/>
        <v>136.49999999999991</v>
      </c>
    </row>
    <row r="26" spans="1:20" x14ac:dyDescent="0.25">
      <c r="A26" s="11" t="s">
        <v>36</v>
      </c>
      <c r="B26" s="85" t="s">
        <v>38</v>
      </c>
      <c r="C26" s="86"/>
      <c r="D26" s="86"/>
      <c r="E26" s="86"/>
      <c r="F26" s="86"/>
      <c r="G26" s="86"/>
      <c r="H26" s="86"/>
      <c r="I26" s="86"/>
      <c r="J26" s="87"/>
      <c r="L26" s="75">
        <f t="shared" si="3"/>
        <v>136.59999999999991</v>
      </c>
      <c r="M26" s="26">
        <f t="shared" si="4"/>
        <v>55.9</v>
      </c>
      <c r="N26" s="26">
        <f t="shared" si="4"/>
        <v>56</v>
      </c>
      <c r="O26" s="26">
        <f t="shared" si="4"/>
        <v>56</v>
      </c>
      <c r="P26" s="26">
        <f t="shared" si="4"/>
        <v>56.1</v>
      </c>
      <c r="Q26" s="26">
        <f t="shared" si="4"/>
        <v>56.2</v>
      </c>
      <c r="R26" s="26">
        <f t="shared" si="4"/>
        <v>56.3</v>
      </c>
      <c r="S26" s="26">
        <f t="shared" si="4"/>
        <v>56.4</v>
      </c>
      <c r="T26" s="76">
        <f t="shared" si="2"/>
        <v>136.59999999999991</v>
      </c>
    </row>
    <row r="27" spans="1:20" x14ac:dyDescent="0.25">
      <c r="A27" s="55" t="s">
        <v>44</v>
      </c>
      <c r="B27" s="88" t="s">
        <v>41</v>
      </c>
      <c r="C27" s="86"/>
      <c r="D27" s="86"/>
      <c r="E27" s="86"/>
      <c r="F27" s="86"/>
      <c r="G27" s="86"/>
      <c r="H27" s="86"/>
      <c r="I27" s="86"/>
      <c r="J27" s="87"/>
      <c r="L27" s="75">
        <f t="shared" si="3"/>
        <v>136.6999999999999</v>
      </c>
      <c r="M27" s="26">
        <f t="shared" si="4"/>
        <v>55.9</v>
      </c>
      <c r="N27" s="26">
        <f t="shared" si="4"/>
        <v>55.9</v>
      </c>
      <c r="O27" s="26">
        <f t="shared" si="4"/>
        <v>56</v>
      </c>
      <c r="P27" s="26">
        <f t="shared" si="4"/>
        <v>56.1</v>
      </c>
      <c r="Q27" s="26">
        <f t="shared" si="4"/>
        <v>56.2</v>
      </c>
      <c r="R27" s="26">
        <f t="shared" si="4"/>
        <v>56.3</v>
      </c>
      <c r="S27" s="26">
        <f t="shared" si="4"/>
        <v>56.4</v>
      </c>
      <c r="T27" s="76">
        <f t="shared" si="2"/>
        <v>136.6999999999999</v>
      </c>
    </row>
    <row r="28" spans="1:20" x14ac:dyDescent="0.25">
      <c r="A28" s="11" t="s">
        <v>39</v>
      </c>
      <c r="B28" s="85" t="s">
        <v>42</v>
      </c>
      <c r="C28" s="86"/>
      <c r="D28" s="86"/>
      <c r="E28" s="86"/>
      <c r="F28" s="86"/>
      <c r="G28" s="86"/>
      <c r="H28" s="86"/>
      <c r="I28" s="86"/>
      <c r="J28" s="87"/>
      <c r="L28" s="75">
        <f t="shared" si="3"/>
        <v>136.7999999999999</v>
      </c>
      <c r="M28" s="26">
        <f t="shared" si="4"/>
        <v>55.8</v>
      </c>
      <c r="N28" s="26">
        <f t="shared" si="4"/>
        <v>55.9</v>
      </c>
      <c r="O28" s="26">
        <f t="shared" si="4"/>
        <v>56</v>
      </c>
      <c r="P28" s="26">
        <f t="shared" si="4"/>
        <v>56.1</v>
      </c>
      <c r="Q28" s="26">
        <f t="shared" si="4"/>
        <v>56.2</v>
      </c>
      <c r="R28" s="26">
        <f t="shared" si="4"/>
        <v>56.3</v>
      </c>
      <c r="S28" s="26">
        <f t="shared" si="4"/>
        <v>56.4</v>
      </c>
      <c r="T28" s="76">
        <f t="shared" si="2"/>
        <v>136.7999999999999</v>
      </c>
    </row>
    <row r="29" spans="1:20" x14ac:dyDescent="0.25">
      <c r="A29" s="11" t="s">
        <v>40</v>
      </c>
      <c r="B29" s="85" t="s">
        <v>43</v>
      </c>
      <c r="C29" s="86"/>
      <c r="D29" s="86"/>
      <c r="E29" s="86"/>
      <c r="F29" s="86"/>
      <c r="G29" s="86"/>
      <c r="H29" s="86"/>
      <c r="I29" s="86"/>
      <c r="J29" s="87"/>
      <c r="L29" s="75">
        <f t="shared" si="3"/>
        <v>136.89999999999989</v>
      </c>
      <c r="M29" s="26">
        <f t="shared" si="4"/>
        <v>55.8</v>
      </c>
      <c r="N29" s="26">
        <f t="shared" si="4"/>
        <v>55.9</v>
      </c>
      <c r="O29" s="26">
        <f t="shared" si="4"/>
        <v>56</v>
      </c>
      <c r="P29" s="26">
        <f t="shared" si="4"/>
        <v>56.1</v>
      </c>
      <c r="Q29" s="26">
        <f t="shared" si="4"/>
        <v>56.2</v>
      </c>
      <c r="R29" s="26">
        <f t="shared" si="4"/>
        <v>56.3</v>
      </c>
      <c r="S29" s="26">
        <f t="shared" si="4"/>
        <v>56.4</v>
      </c>
      <c r="T29" s="76">
        <f t="shared" si="2"/>
        <v>136.89999999999989</v>
      </c>
    </row>
    <row r="30" spans="1:20" x14ac:dyDescent="0.25">
      <c r="A30" s="55" t="s">
        <v>45</v>
      </c>
      <c r="B30" s="88" t="s">
        <v>49</v>
      </c>
      <c r="C30" s="86"/>
      <c r="D30" s="86"/>
      <c r="E30" s="86"/>
      <c r="F30" s="86"/>
      <c r="G30" s="86"/>
      <c r="H30" s="86"/>
      <c r="I30" s="86"/>
      <c r="J30" s="87"/>
      <c r="L30" s="75">
        <f t="shared" si="3"/>
        <v>136.99999999999989</v>
      </c>
      <c r="M30" s="26">
        <f t="shared" ref="M30:S39" si="5">ROUND(DensConv_80(BaseDens_80(DensConv_80(M$8,$B$8,"kg/m3"),$L30,0,$E$8,1),"kg/m3",$B$8),$F$8)</f>
        <v>55.8</v>
      </c>
      <c r="N30" s="26">
        <f t="shared" si="5"/>
        <v>55.9</v>
      </c>
      <c r="O30" s="26">
        <f t="shared" si="5"/>
        <v>56</v>
      </c>
      <c r="P30" s="26">
        <f t="shared" si="5"/>
        <v>56.1</v>
      </c>
      <c r="Q30" s="26">
        <f t="shared" si="5"/>
        <v>56.2</v>
      </c>
      <c r="R30" s="26">
        <f t="shared" si="5"/>
        <v>56.3</v>
      </c>
      <c r="S30" s="26">
        <f t="shared" si="5"/>
        <v>56.3</v>
      </c>
      <c r="T30" s="76">
        <f t="shared" si="2"/>
        <v>136.99999999999989</v>
      </c>
    </row>
    <row r="31" spans="1:20" x14ac:dyDescent="0.25">
      <c r="A31" s="55" t="s">
        <v>46</v>
      </c>
      <c r="B31" s="88" t="s">
        <v>50</v>
      </c>
      <c r="C31" s="86"/>
      <c r="D31" s="86"/>
      <c r="E31" s="86"/>
      <c r="F31" s="86"/>
      <c r="G31" s="86"/>
      <c r="H31" s="86"/>
      <c r="I31" s="86"/>
      <c r="J31" s="87"/>
      <c r="L31" s="75">
        <f t="shared" si="3"/>
        <v>137.09999999999988</v>
      </c>
      <c r="M31" s="26">
        <f t="shared" si="5"/>
        <v>55.8</v>
      </c>
      <c r="N31" s="26">
        <f t="shared" si="5"/>
        <v>55.9</v>
      </c>
      <c r="O31" s="26">
        <f t="shared" si="5"/>
        <v>56</v>
      </c>
      <c r="P31" s="26">
        <f t="shared" si="5"/>
        <v>56.1</v>
      </c>
      <c r="Q31" s="26">
        <f t="shared" si="5"/>
        <v>56.2</v>
      </c>
      <c r="R31" s="26">
        <f t="shared" si="5"/>
        <v>56.2</v>
      </c>
      <c r="S31" s="26">
        <f t="shared" si="5"/>
        <v>56.3</v>
      </c>
      <c r="T31" s="76">
        <f t="shared" si="2"/>
        <v>137.09999999999988</v>
      </c>
    </row>
    <row r="32" spans="1:20" x14ac:dyDescent="0.25">
      <c r="A32" s="55" t="s">
        <v>47</v>
      </c>
      <c r="B32" s="88" t="s">
        <v>51</v>
      </c>
      <c r="C32" s="86"/>
      <c r="D32" s="86"/>
      <c r="E32" s="86"/>
      <c r="F32" s="86"/>
      <c r="G32" s="86"/>
      <c r="H32" s="86"/>
      <c r="I32" s="86"/>
      <c r="J32" s="87"/>
      <c r="L32" s="75">
        <f t="shared" si="3"/>
        <v>137.19999999999987</v>
      </c>
      <c r="M32" s="26">
        <f t="shared" si="5"/>
        <v>55.8</v>
      </c>
      <c r="N32" s="26">
        <f t="shared" si="5"/>
        <v>55.9</v>
      </c>
      <c r="O32" s="26">
        <f t="shared" si="5"/>
        <v>56</v>
      </c>
      <c r="P32" s="26">
        <f t="shared" si="5"/>
        <v>56.1</v>
      </c>
      <c r="Q32" s="26">
        <f t="shared" si="5"/>
        <v>56.1</v>
      </c>
      <c r="R32" s="26">
        <f t="shared" si="5"/>
        <v>56.2</v>
      </c>
      <c r="S32" s="26">
        <f t="shared" si="5"/>
        <v>56.3</v>
      </c>
      <c r="T32" s="76">
        <f t="shared" si="2"/>
        <v>137.19999999999987</v>
      </c>
    </row>
    <row r="33" spans="1:20" x14ac:dyDescent="0.25">
      <c r="A33" s="11" t="s">
        <v>48</v>
      </c>
      <c r="B33" s="85" t="s">
        <v>52</v>
      </c>
      <c r="C33" s="86"/>
      <c r="D33" s="86"/>
      <c r="E33" s="86"/>
      <c r="F33" s="86"/>
      <c r="G33" s="86"/>
      <c r="H33" s="86"/>
      <c r="I33" s="86"/>
      <c r="J33" s="87"/>
      <c r="L33" s="75">
        <f t="shared" si="3"/>
        <v>137.29999999999987</v>
      </c>
      <c r="M33" s="26">
        <f t="shared" si="5"/>
        <v>55.8</v>
      </c>
      <c r="N33" s="26">
        <f t="shared" si="5"/>
        <v>55.9</v>
      </c>
      <c r="O33" s="26">
        <f t="shared" si="5"/>
        <v>56</v>
      </c>
      <c r="P33" s="26">
        <f t="shared" si="5"/>
        <v>56.1</v>
      </c>
      <c r="Q33" s="26">
        <f t="shared" si="5"/>
        <v>56.1</v>
      </c>
      <c r="R33" s="26">
        <f t="shared" si="5"/>
        <v>56.2</v>
      </c>
      <c r="S33" s="26">
        <f t="shared" si="5"/>
        <v>56.3</v>
      </c>
      <c r="T33" s="76">
        <f t="shared" si="2"/>
        <v>137.29999999999987</v>
      </c>
    </row>
    <row r="34" spans="1:20" x14ac:dyDescent="0.25">
      <c r="A34" s="55" t="s">
        <v>55</v>
      </c>
      <c r="B34" s="88" t="s">
        <v>53</v>
      </c>
      <c r="C34" s="86"/>
      <c r="D34" s="86"/>
      <c r="E34" s="86"/>
      <c r="F34" s="86"/>
      <c r="G34" s="86"/>
      <c r="H34" s="86"/>
      <c r="I34" s="86"/>
      <c r="J34" s="87"/>
      <c r="L34" s="75">
        <f t="shared" si="3"/>
        <v>137.39999999999986</v>
      </c>
      <c r="M34" s="26">
        <f t="shared" si="5"/>
        <v>55.8</v>
      </c>
      <c r="N34" s="26">
        <f t="shared" si="5"/>
        <v>55.9</v>
      </c>
      <c r="O34" s="26">
        <f t="shared" si="5"/>
        <v>56</v>
      </c>
      <c r="P34" s="26">
        <f t="shared" si="5"/>
        <v>56</v>
      </c>
      <c r="Q34" s="26">
        <f t="shared" si="5"/>
        <v>56.1</v>
      </c>
      <c r="R34" s="26">
        <f t="shared" si="5"/>
        <v>56.2</v>
      </c>
      <c r="S34" s="26">
        <f t="shared" si="5"/>
        <v>56.3</v>
      </c>
      <c r="T34" s="76">
        <f t="shared" si="2"/>
        <v>137.39999999999986</v>
      </c>
    </row>
    <row r="35" spans="1:20" x14ac:dyDescent="0.25">
      <c r="A35" s="55" t="s">
        <v>56</v>
      </c>
      <c r="B35" s="88" t="s">
        <v>54</v>
      </c>
      <c r="C35" s="86"/>
      <c r="D35" s="86"/>
      <c r="E35" s="86"/>
      <c r="F35" s="86"/>
      <c r="G35" s="86"/>
      <c r="H35" s="86"/>
      <c r="I35" s="86"/>
      <c r="J35" s="87"/>
      <c r="L35" s="75">
        <f t="shared" si="3"/>
        <v>137.49999999999986</v>
      </c>
      <c r="M35" s="26">
        <f t="shared" si="5"/>
        <v>55.8</v>
      </c>
      <c r="N35" s="26">
        <f t="shared" si="5"/>
        <v>55.9</v>
      </c>
      <c r="O35" s="26">
        <f t="shared" si="5"/>
        <v>55.9</v>
      </c>
      <c r="P35" s="26">
        <f t="shared" si="5"/>
        <v>56</v>
      </c>
      <c r="Q35" s="26">
        <f t="shared" si="5"/>
        <v>56.1</v>
      </c>
      <c r="R35" s="26">
        <f t="shared" si="5"/>
        <v>56.2</v>
      </c>
      <c r="S35" s="26">
        <f t="shared" si="5"/>
        <v>56.3</v>
      </c>
      <c r="T35" s="76">
        <f t="shared" si="2"/>
        <v>137.49999999999986</v>
      </c>
    </row>
    <row r="36" spans="1:20" x14ac:dyDescent="0.25">
      <c r="A36" s="55" t="s">
        <v>57</v>
      </c>
      <c r="B36" s="88" t="s">
        <v>58</v>
      </c>
      <c r="C36" s="86"/>
      <c r="D36" s="86"/>
      <c r="E36" s="86"/>
      <c r="F36" s="86"/>
      <c r="G36" s="86"/>
      <c r="H36" s="86"/>
      <c r="I36" s="86"/>
      <c r="J36" s="87"/>
      <c r="L36" s="75">
        <f t="shared" si="3"/>
        <v>137.59999999999985</v>
      </c>
      <c r="M36" s="26">
        <f t="shared" si="5"/>
        <v>55.8</v>
      </c>
      <c r="N36" s="26">
        <f t="shared" si="5"/>
        <v>55.8</v>
      </c>
      <c r="O36" s="26">
        <f t="shared" si="5"/>
        <v>55.9</v>
      </c>
      <c r="P36" s="26">
        <f t="shared" si="5"/>
        <v>56</v>
      </c>
      <c r="Q36" s="26">
        <f t="shared" si="5"/>
        <v>56.1</v>
      </c>
      <c r="R36" s="26">
        <f t="shared" si="5"/>
        <v>56.2</v>
      </c>
      <c r="S36" s="26">
        <f t="shared" si="5"/>
        <v>56.3</v>
      </c>
      <c r="T36" s="76">
        <f t="shared" si="2"/>
        <v>137.59999999999985</v>
      </c>
    </row>
    <row r="37" spans="1:20" x14ac:dyDescent="0.25">
      <c r="A37" s="11" t="s">
        <v>59</v>
      </c>
      <c r="B37" s="85" t="s">
        <v>61</v>
      </c>
      <c r="C37" s="86"/>
      <c r="D37" s="86"/>
      <c r="E37" s="86"/>
      <c r="F37" s="86"/>
      <c r="G37" s="86"/>
      <c r="H37" s="86"/>
      <c r="I37" s="86"/>
      <c r="J37" s="87"/>
      <c r="L37" s="75">
        <f t="shared" si="3"/>
        <v>137.69999999999985</v>
      </c>
      <c r="M37" s="26">
        <f t="shared" si="5"/>
        <v>55.7</v>
      </c>
      <c r="N37" s="26">
        <f t="shared" si="5"/>
        <v>55.8</v>
      </c>
      <c r="O37" s="26">
        <f t="shared" si="5"/>
        <v>55.9</v>
      </c>
      <c r="P37" s="26">
        <f t="shared" si="5"/>
        <v>56</v>
      </c>
      <c r="Q37" s="26">
        <f t="shared" si="5"/>
        <v>56.1</v>
      </c>
      <c r="R37" s="26">
        <f t="shared" si="5"/>
        <v>56.2</v>
      </c>
      <c r="S37" s="26">
        <f t="shared" si="5"/>
        <v>56.3</v>
      </c>
      <c r="T37" s="76">
        <f t="shared" si="2"/>
        <v>137.69999999999985</v>
      </c>
    </row>
    <row r="38" spans="1:20" x14ac:dyDescent="0.25">
      <c r="A38" s="12"/>
      <c r="B38" s="13"/>
      <c r="C38" s="31"/>
      <c r="D38" s="31"/>
      <c r="E38" s="31"/>
      <c r="F38" s="31"/>
      <c r="G38" s="31"/>
      <c r="H38" s="31"/>
      <c r="I38" s="14"/>
      <c r="J38" s="14"/>
      <c r="L38" s="75">
        <f t="shared" si="3"/>
        <v>137.79999999999984</v>
      </c>
      <c r="M38" s="26">
        <f t="shared" si="5"/>
        <v>55.7</v>
      </c>
      <c r="N38" s="26">
        <f t="shared" si="5"/>
        <v>55.8</v>
      </c>
      <c r="O38" s="26">
        <f t="shared" si="5"/>
        <v>55.9</v>
      </c>
      <c r="P38" s="26">
        <f t="shared" si="5"/>
        <v>56</v>
      </c>
      <c r="Q38" s="26">
        <f t="shared" si="5"/>
        <v>56.1</v>
      </c>
      <c r="R38" s="26">
        <f t="shared" si="5"/>
        <v>56.2</v>
      </c>
      <c r="S38" s="26">
        <f t="shared" si="5"/>
        <v>56.3</v>
      </c>
      <c r="T38" s="76">
        <f t="shared" si="2"/>
        <v>137.79999999999984</v>
      </c>
    </row>
    <row r="39" spans="1:20" x14ac:dyDescent="0.25">
      <c r="A39" s="34"/>
      <c r="B39" s="33"/>
      <c r="C39" s="33"/>
      <c r="D39" s="14"/>
      <c r="E39" s="14"/>
      <c r="F39" s="31"/>
      <c r="G39" s="31"/>
      <c r="H39" s="31"/>
      <c r="I39" s="14"/>
      <c r="J39" s="14"/>
      <c r="L39" s="75">
        <f t="shared" si="3"/>
        <v>137.89999999999984</v>
      </c>
      <c r="M39" s="26">
        <f t="shared" si="5"/>
        <v>55.7</v>
      </c>
      <c r="N39" s="26">
        <f t="shared" si="5"/>
        <v>55.8</v>
      </c>
      <c r="O39" s="26">
        <f t="shared" si="5"/>
        <v>55.9</v>
      </c>
      <c r="P39" s="26">
        <f t="shared" si="5"/>
        <v>56</v>
      </c>
      <c r="Q39" s="26">
        <f t="shared" si="5"/>
        <v>56.1</v>
      </c>
      <c r="R39" s="26">
        <f t="shared" si="5"/>
        <v>56.2</v>
      </c>
      <c r="S39" s="26">
        <f t="shared" si="5"/>
        <v>56.2</v>
      </c>
      <c r="T39" s="76">
        <f t="shared" si="2"/>
        <v>137.89999999999984</v>
      </c>
    </row>
    <row r="40" spans="1:20" x14ac:dyDescent="0.25">
      <c r="A40" s="34"/>
      <c r="B40" s="38"/>
      <c r="C40" s="31"/>
      <c r="D40" s="37"/>
      <c r="E40" s="14"/>
      <c r="F40" s="14"/>
      <c r="G40" s="33"/>
      <c r="H40" s="33"/>
      <c r="I40" s="14"/>
      <c r="J40" s="14"/>
      <c r="L40" s="75">
        <f t="shared" si="3"/>
        <v>137.99999999999983</v>
      </c>
      <c r="M40" s="26">
        <f t="shared" ref="M40:S49" si="6">ROUND(DensConv_80(BaseDens_80(DensConv_80(M$8,$B$8,"kg/m3"),$L40,0,$E$8,1),"kg/m3",$B$8),$F$8)</f>
        <v>55.7</v>
      </c>
      <c r="N40" s="26">
        <f t="shared" si="6"/>
        <v>55.8</v>
      </c>
      <c r="O40" s="26">
        <f t="shared" si="6"/>
        <v>55.9</v>
      </c>
      <c r="P40" s="26">
        <f t="shared" si="6"/>
        <v>56</v>
      </c>
      <c r="Q40" s="26">
        <f t="shared" si="6"/>
        <v>56.1</v>
      </c>
      <c r="R40" s="26">
        <f t="shared" si="6"/>
        <v>56.1</v>
      </c>
      <c r="S40" s="26">
        <f t="shared" si="6"/>
        <v>56.2</v>
      </c>
      <c r="T40" s="76">
        <f t="shared" si="2"/>
        <v>137.99999999999983</v>
      </c>
    </row>
    <row r="41" spans="1:20" x14ac:dyDescent="0.25">
      <c r="A41" s="34"/>
      <c r="B41" s="38"/>
      <c r="C41" s="31"/>
      <c r="D41" s="36"/>
      <c r="E41" s="14"/>
      <c r="F41" s="14"/>
      <c r="G41" s="33"/>
      <c r="H41" s="33"/>
      <c r="I41" s="14"/>
      <c r="J41" s="14"/>
      <c r="L41" s="75">
        <f t="shared" si="3"/>
        <v>138.09999999999982</v>
      </c>
      <c r="M41" s="26">
        <f t="shared" si="6"/>
        <v>55.7</v>
      </c>
      <c r="N41" s="26">
        <f t="shared" si="6"/>
        <v>55.8</v>
      </c>
      <c r="O41" s="26">
        <f t="shared" si="6"/>
        <v>55.9</v>
      </c>
      <c r="P41" s="26">
        <f t="shared" si="6"/>
        <v>56</v>
      </c>
      <c r="Q41" s="26">
        <f t="shared" si="6"/>
        <v>56</v>
      </c>
      <c r="R41" s="26">
        <f t="shared" si="6"/>
        <v>56.1</v>
      </c>
      <c r="S41" s="26">
        <f t="shared" si="6"/>
        <v>56.2</v>
      </c>
      <c r="T41" s="76">
        <f t="shared" si="2"/>
        <v>138.09999999999982</v>
      </c>
    </row>
    <row r="42" spans="1:20" x14ac:dyDescent="0.25">
      <c r="A42" s="34"/>
      <c r="B42" s="38"/>
      <c r="C42" s="39"/>
      <c r="D42" s="36"/>
      <c r="E42" s="14"/>
      <c r="F42" s="14"/>
      <c r="G42" s="33"/>
      <c r="H42" s="33"/>
      <c r="I42" s="14"/>
      <c r="J42" s="14"/>
      <c r="L42" s="75">
        <f t="shared" si="3"/>
        <v>138.19999999999982</v>
      </c>
      <c r="M42" s="26">
        <f t="shared" si="6"/>
        <v>55.7</v>
      </c>
      <c r="N42" s="26">
        <f t="shared" si="6"/>
        <v>55.8</v>
      </c>
      <c r="O42" s="26">
        <f t="shared" si="6"/>
        <v>55.9</v>
      </c>
      <c r="P42" s="26">
        <f t="shared" si="6"/>
        <v>56</v>
      </c>
      <c r="Q42" s="26">
        <f t="shared" si="6"/>
        <v>56</v>
      </c>
      <c r="R42" s="26">
        <f t="shared" si="6"/>
        <v>56.1</v>
      </c>
      <c r="S42" s="26">
        <f t="shared" si="6"/>
        <v>56.2</v>
      </c>
      <c r="T42" s="76">
        <f t="shared" si="2"/>
        <v>138.19999999999982</v>
      </c>
    </row>
    <row r="43" spans="1:20" x14ac:dyDescent="0.25">
      <c r="A43" s="33"/>
      <c r="B43" s="35"/>
      <c r="C43" s="35"/>
      <c r="D43" s="33"/>
      <c r="E43" s="14"/>
      <c r="F43" s="14"/>
      <c r="G43" s="33"/>
      <c r="H43" s="33"/>
      <c r="I43" s="14"/>
      <c r="J43" s="14"/>
      <c r="L43" s="75">
        <f t="shared" si="3"/>
        <v>138.29999999999981</v>
      </c>
      <c r="M43" s="26">
        <f t="shared" si="6"/>
        <v>55.7</v>
      </c>
      <c r="N43" s="26">
        <f t="shared" si="6"/>
        <v>55.8</v>
      </c>
      <c r="O43" s="26">
        <f t="shared" si="6"/>
        <v>55.9</v>
      </c>
      <c r="P43" s="26">
        <f t="shared" si="6"/>
        <v>55.9</v>
      </c>
      <c r="Q43" s="26">
        <f t="shared" si="6"/>
        <v>56</v>
      </c>
      <c r="R43" s="26">
        <f t="shared" si="6"/>
        <v>56.1</v>
      </c>
      <c r="S43" s="26">
        <f t="shared" si="6"/>
        <v>56.2</v>
      </c>
      <c r="T43" s="76">
        <f t="shared" si="2"/>
        <v>138.29999999999981</v>
      </c>
    </row>
    <row r="44" spans="1:20" x14ac:dyDescent="0.25">
      <c r="A44" s="34"/>
      <c r="B44" s="33"/>
      <c r="C44" s="33"/>
      <c r="D44" s="33"/>
      <c r="E44" s="14"/>
      <c r="F44" s="14"/>
      <c r="G44" s="33"/>
      <c r="H44" s="33"/>
      <c r="I44" s="14"/>
      <c r="J44" s="14"/>
      <c r="L44" s="75">
        <f t="shared" si="3"/>
        <v>138.39999999999981</v>
      </c>
      <c r="M44" s="26">
        <f t="shared" si="6"/>
        <v>55.7</v>
      </c>
      <c r="N44" s="26">
        <f t="shared" si="6"/>
        <v>55.8</v>
      </c>
      <c r="O44" s="26">
        <f t="shared" si="6"/>
        <v>55.8</v>
      </c>
      <c r="P44" s="26">
        <f t="shared" si="6"/>
        <v>55.9</v>
      </c>
      <c r="Q44" s="26">
        <f t="shared" si="6"/>
        <v>56</v>
      </c>
      <c r="R44" s="26">
        <f t="shared" si="6"/>
        <v>56.1</v>
      </c>
      <c r="S44" s="26">
        <f t="shared" si="6"/>
        <v>56.2</v>
      </c>
      <c r="T44" s="76">
        <f t="shared" si="2"/>
        <v>138.39999999999981</v>
      </c>
    </row>
    <row r="45" spans="1:20" x14ac:dyDescent="0.25">
      <c r="A45" s="34"/>
      <c r="B45" s="33"/>
      <c r="C45" s="14"/>
      <c r="D45" s="33"/>
      <c r="E45" s="14"/>
      <c r="F45" s="14"/>
      <c r="G45" s="33"/>
      <c r="H45" s="33"/>
      <c r="I45" s="14"/>
      <c r="J45" s="14"/>
      <c r="L45" s="75">
        <f t="shared" si="3"/>
        <v>138.4999999999998</v>
      </c>
      <c r="M45" s="26">
        <f t="shared" si="6"/>
        <v>55.7</v>
      </c>
      <c r="N45" s="26">
        <f t="shared" si="6"/>
        <v>55.7</v>
      </c>
      <c r="O45" s="26">
        <f t="shared" si="6"/>
        <v>55.8</v>
      </c>
      <c r="P45" s="26">
        <f t="shared" si="6"/>
        <v>55.9</v>
      </c>
      <c r="Q45" s="26">
        <f t="shared" si="6"/>
        <v>56</v>
      </c>
      <c r="R45" s="26">
        <f t="shared" si="6"/>
        <v>56.1</v>
      </c>
      <c r="S45" s="26">
        <f t="shared" si="6"/>
        <v>56.2</v>
      </c>
      <c r="T45" s="76">
        <f t="shared" si="2"/>
        <v>138.4999999999998</v>
      </c>
    </row>
    <row r="46" spans="1:20" x14ac:dyDescent="0.25">
      <c r="A46" s="34"/>
      <c r="B46" s="35"/>
      <c r="C46" s="36"/>
      <c r="D46" s="13"/>
      <c r="E46" s="13"/>
      <c r="F46" s="13"/>
      <c r="G46" s="14"/>
      <c r="H46" s="14"/>
      <c r="I46" s="14"/>
      <c r="J46" s="14"/>
      <c r="L46" s="75">
        <f t="shared" si="3"/>
        <v>138.5999999999998</v>
      </c>
      <c r="M46" s="26">
        <f t="shared" si="6"/>
        <v>55.6</v>
      </c>
      <c r="N46" s="26">
        <f t="shared" si="6"/>
        <v>55.7</v>
      </c>
      <c r="O46" s="26">
        <f t="shared" si="6"/>
        <v>55.8</v>
      </c>
      <c r="P46" s="26">
        <f t="shared" si="6"/>
        <v>55.9</v>
      </c>
      <c r="Q46" s="26">
        <f t="shared" si="6"/>
        <v>56</v>
      </c>
      <c r="R46" s="26">
        <f t="shared" si="6"/>
        <v>56.1</v>
      </c>
      <c r="S46" s="26">
        <f t="shared" si="6"/>
        <v>56.2</v>
      </c>
      <c r="T46" s="76">
        <f t="shared" si="2"/>
        <v>138.5999999999998</v>
      </c>
    </row>
    <row r="47" spans="1:20" x14ac:dyDescent="0.25">
      <c r="A47" s="34"/>
      <c r="B47" s="35"/>
      <c r="C47" s="13"/>
      <c r="D47" s="13"/>
      <c r="E47" s="13"/>
      <c r="F47" s="13"/>
      <c r="G47" s="14"/>
      <c r="H47" s="14"/>
      <c r="I47" s="14"/>
      <c r="J47" s="14"/>
      <c r="L47" s="75">
        <f t="shared" si="3"/>
        <v>138.69999999999979</v>
      </c>
      <c r="M47" s="26">
        <f t="shared" si="6"/>
        <v>55.6</v>
      </c>
      <c r="N47" s="26">
        <f t="shared" si="6"/>
        <v>55.7</v>
      </c>
      <c r="O47" s="26">
        <f t="shared" si="6"/>
        <v>55.8</v>
      </c>
      <c r="P47" s="26">
        <f t="shared" si="6"/>
        <v>55.9</v>
      </c>
      <c r="Q47" s="26">
        <f t="shared" si="6"/>
        <v>56</v>
      </c>
      <c r="R47" s="26">
        <f t="shared" si="6"/>
        <v>56.1</v>
      </c>
      <c r="S47" s="26">
        <f t="shared" si="6"/>
        <v>56.2</v>
      </c>
      <c r="T47" s="76">
        <f t="shared" si="2"/>
        <v>138.69999999999979</v>
      </c>
    </row>
    <row r="48" spans="1:20" x14ac:dyDescent="0.25">
      <c r="A48" s="33"/>
      <c r="B48" s="35"/>
      <c r="C48" s="13"/>
      <c r="D48" s="14"/>
      <c r="E48" s="14"/>
      <c r="F48" s="14"/>
      <c r="G48" s="14"/>
      <c r="H48" s="14"/>
      <c r="I48" s="14"/>
      <c r="J48" s="14"/>
      <c r="L48" s="75">
        <f t="shared" si="3"/>
        <v>138.79999999999978</v>
      </c>
      <c r="M48" s="26">
        <f t="shared" si="6"/>
        <v>55.6</v>
      </c>
      <c r="N48" s="26">
        <f t="shared" si="6"/>
        <v>55.7</v>
      </c>
      <c r="O48" s="26">
        <f t="shared" si="6"/>
        <v>55.8</v>
      </c>
      <c r="P48" s="26">
        <f t="shared" si="6"/>
        <v>55.9</v>
      </c>
      <c r="Q48" s="26">
        <f t="shared" si="6"/>
        <v>56</v>
      </c>
      <c r="R48" s="26">
        <f t="shared" si="6"/>
        <v>56.1</v>
      </c>
      <c r="S48" s="26">
        <f t="shared" si="6"/>
        <v>56.1</v>
      </c>
      <c r="T48" s="76">
        <f t="shared" si="2"/>
        <v>138.79999999999978</v>
      </c>
    </row>
    <row r="49" spans="1:20" x14ac:dyDescent="0.25">
      <c r="A49" s="33"/>
      <c r="B49" s="35"/>
      <c r="C49" s="14"/>
      <c r="D49" s="14"/>
      <c r="E49" s="14"/>
      <c r="F49" s="14"/>
      <c r="G49" s="14"/>
      <c r="H49" s="14"/>
      <c r="I49" s="14"/>
      <c r="J49" s="14"/>
      <c r="L49" s="75">
        <f t="shared" si="3"/>
        <v>138.89999999999978</v>
      </c>
      <c r="M49" s="26">
        <f t="shared" si="6"/>
        <v>55.6</v>
      </c>
      <c r="N49" s="26">
        <f t="shared" si="6"/>
        <v>55.7</v>
      </c>
      <c r="O49" s="26">
        <f t="shared" si="6"/>
        <v>55.8</v>
      </c>
      <c r="P49" s="26">
        <f t="shared" si="6"/>
        <v>55.9</v>
      </c>
      <c r="Q49" s="26">
        <f t="shared" si="6"/>
        <v>56</v>
      </c>
      <c r="R49" s="26">
        <f t="shared" si="6"/>
        <v>56</v>
      </c>
      <c r="S49" s="26">
        <f t="shared" si="6"/>
        <v>56.1</v>
      </c>
      <c r="T49" s="76">
        <f t="shared" si="2"/>
        <v>138.89999999999978</v>
      </c>
    </row>
    <row r="50" spans="1:20" x14ac:dyDescent="0.25">
      <c r="A50" s="33"/>
      <c r="B50" s="35"/>
      <c r="C50" s="14"/>
      <c r="D50" s="14"/>
      <c r="E50" s="14"/>
      <c r="F50" s="14"/>
      <c r="G50" s="14"/>
      <c r="H50" s="14"/>
      <c r="I50" s="14"/>
      <c r="J50" s="14"/>
      <c r="L50" s="75">
        <f t="shared" si="3"/>
        <v>138.99999999999977</v>
      </c>
      <c r="M50" s="26">
        <f t="shared" ref="M50:S59" si="7">ROUND(DensConv_80(BaseDens_80(DensConv_80(M$8,$B$8,"kg/m3"),$L50,0,$E$8,1),"kg/m3",$B$8),$F$8)</f>
        <v>55.6</v>
      </c>
      <c r="N50" s="26">
        <f t="shared" si="7"/>
        <v>55.7</v>
      </c>
      <c r="O50" s="26">
        <f t="shared" si="7"/>
        <v>55.8</v>
      </c>
      <c r="P50" s="26">
        <f t="shared" si="7"/>
        <v>55.9</v>
      </c>
      <c r="Q50" s="26">
        <f t="shared" si="7"/>
        <v>56</v>
      </c>
      <c r="R50" s="26">
        <f t="shared" si="7"/>
        <v>56</v>
      </c>
      <c r="S50" s="26">
        <f t="shared" si="7"/>
        <v>56.1</v>
      </c>
      <c r="T50" s="76">
        <f t="shared" si="2"/>
        <v>138.99999999999977</v>
      </c>
    </row>
    <row r="51" spans="1:20" x14ac:dyDescent="0.25">
      <c r="A51" s="33"/>
      <c r="B51" s="35"/>
      <c r="C51" s="14"/>
      <c r="D51" s="14"/>
      <c r="E51" s="14"/>
      <c r="F51" s="14"/>
      <c r="G51" s="14"/>
      <c r="H51" s="14"/>
      <c r="I51" s="14"/>
      <c r="J51" s="14"/>
      <c r="L51" s="75">
        <f t="shared" si="3"/>
        <v>139.09999999999977</v>
      </c>
      <c r="M51" s="26">
        <f t="shared" si="7"/>
        <v>55.6</v>
      </c>
      <c r="N51" s="26">
        <f t="shared" si="7"/>
        <v>55.7</v>
      </c>
      <c r="O51" s="26">
        <f t="shared" si="7"/>
        <v>55.8</v>
      </c>
      <c r="P51" s="26">
        <f t="shared" si="7"/>
        <v>55.9</v>
      </c>
      <c r="Q51" s="26">
        <f t="shared" si="7"/>
        <v>55.9</v>
      </c>
      <c r="R51" s="26">
        <f t="shared" si="7"/>
        <v>56</v>
      </c>
      <c r="S51" s="26">
        <f t="shared" si="7"/>
        <v>56.1</v>
      </c>
      <c r="T51" s="76">
        <f t="shared" si="2"/>
        <v>139.09999999999977</v>
      </c>
    </row>
    <row r="52" spans="1:20" x14ac:dyDescent="0.25">
      <c r="A52" s="33"/>
      <c r="B52" s="14"/>
      <c r="C52" s="14"/>
      <c r="D52" s="14"/>
      <c r="E52" s="14"/>
      <c r="F52" s="14"/>
      <c r="G52" s="14"/>
      <c r="H52" s="14"/>
      <c r="I52" s="14"/>
      <c r="J52" s="14"/>
      <c r="L52" s="75">
        <f t="shared" si="3"/>
        <v>139.19999999999976</v>
      </c>
      <c r="M52" s="26">
        <f t="shared" si="7"/>
        <v>55.6</v>
      </c>
      <c r="N52" s="26">
        <f t="shared" si="7"/>
        <v>55.7</v>
      </c>
      <c r="O52" s="26">
        <f t="shared" si="7"/>
        <v>55.8</v>
      </c>
      <c r="P52" s="26">
        <f t="shared" si="7"/>
        <v>55.8</v>
      </c>
      <c r="Q52" s="26">
        <f t="shared" si="7"/>
        <v>55.9</v>
      </c>
      <c r="R52" s="26">
        <f t="shared" si="7"/>
        <v>56</v>
      </c>
      <c r="S52" s="26">
        <f t="shared" si="7"/>
        <v>56.1</v>
      </c>
      <c r="T52" s="76">
        <f t="shared" si="2"/>
        <v>139.19999999999976</v>
      </c>
    </row>
    <row r="53" spans="1:20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L53" s="75">
        <f t="shared" si="3"/>
        <v>139.29999999999976</v>
      </c>
      <c r="M53" s="26">
        <f t="shared" si="7"/>
        <v>55.6</v>
      </c>
      <c r="N53" s="26">
        <f t="shared" si="7"/>
        <v>55.7</v>
      </c>
      <c r="O53" s="26">
        <f t="shared" si="7"/>
        <v>55.7</v>
      </c>
      <c r="P53" s="26">
        <f t="shared" si="7"/>
        <v>55.8</v>
      </c>
      <c r="Q53" s="26">
        <f t="shared" si="7"/>
        <v>55.9</v>
      </c>
      <c r="R53" s="26">
        <f t="shared" si="7"/>
        <v>56</v>
      </c>
      <c r="S53" s="26">
        <f t="shared" si="7"/>
        <v>56.1</v>
      </c>
      <c r="T53" s="76">
        <f t="shared" si="2"/>
        <v>139.29999999999976</v>
      </c>
    </row>
    <row r="54" spans="1:20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L54" s="75">
        <f t="shared" si="3"/>
        <v>139.39999999999975</v>
      </c>
      <c r="M54" s="26">
        <f t="shared" si="7"/>
        <v>55.6</v>
      </c>
      <c r="N54" s="26">
        <f t="shared" si="7"/>
        <v>55.6</v>
      </c>
      <c r="O54" s="26">
        <f t="shared" si="7"/>
        <v>55.7</v>
      </c>
      <c r="P54" s="26">
        <f t="shared" si="7"/>
        <v>55.8</v>
      </c>
      <c r="Q54" s="26">
        <f t="shared" si="7"/>
        <v>55.9</v>
      </c>
      <c r="R54" s="26">
        <f t="shared" si="7"/>
        <v>56</v>
      </c>
      <c r="S54" s="26">
        <f t="shared" si="7"/>
        <v>56.1</v>
      </c>
      <c r="T54" s="76">
        <f t="shared" si="2"/>
        <v>139.39999999999975</v>
      </c>
    </row>
    <row r="55" spans="1:20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L55" s="75">
        <f t="shared" si="3"/>
        <v>139.49999999999974</v>
      </c>
      <c r="M55" s="26">
        <f t="shared" si="7"/>
        <v>55.6</v>
      </c>
      <c r="N55" s="26">
        <f t="shared" si="7"/>
        <v>55.6</v>
      </c>
      <c r="O55" s="26">
        <f t="shared" si="7"/>
        <v>55.7</v>
      </c>
      <c r="P55" s="26">
        <f t="shared" si="7"/>
        <v>55.8</v>
      </c>
      <c r="Q55" s="26">
        <f t="shared" si="7"/>
        <v>55.9</v>
      </c>
      <c r="R55" s="26">
        <f t="shared" si="7"/>
        <v>56</v>
      </c>
      <c r="S55" s="26">
        <f t="shared" si="7"/>
        <v>56.1</v>
      </c>
      <c r="T55" s="76">
        <f t="shared" si="2"/>
        <v>139.49999999999974</v>
      </c>
    </row>
    <row r="56" spans="1:20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L56" s="75">
        <f t="shared" si="3"/>
        <v>139.59999999999974</v>
      </c>
      <c r="M56" s="26">
        <f t="shared" si="7"/>
        <v>55.5</v>
      </c>
      <c r="N56" s="26">
        <f t="shared" si="7"/>
        <v>55.6</v>
      </c>
      <c r="O56" s="26">
        <f t="shared" si="7"/>
        <v>55.7</v>
      </c>
      <c r="P56" s="26">
        <f t="shared" si="7"/>
        <v>55.8</v>
      </c>
      <c r="Q56" s="26">
        <f t="shared" si="7"/>
        <v>55.9</v>
      </c>
      <c r="R56" s="26">
        <f t="shared" si="7"/>
        <v>56</v>
      </c>
      <c r="S56" s="26">
        <f t="shared" si="7"/>
        <v>56.1</v>
      </c>
      <c r="T56" s="76">
        <f t="shared" si="2"/>
        <v>139.59999999999974</v>
      </c>
    </row>
    <row r="57" spans="1:20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L57" s="75">
        <f t="shared" si="3"/>
        <v>139.69999999999973</v>
      </c>
      <c r="M57" s="26">
        <f t="shared" si="7"/>
        <v>55.5</v>
      </c>
      <c r="N57" s="26">
        <f t="shared" si="7"/>
        <v>55.6</v>
      </c>
      <c r="O57" s="26">
        <f t="shared" si="7"/>
        <v>55.7</v>
      </c>
      <c r="P57" s="26">
        <f t="shared" si="7"/>
        <v>55.8</v>
      </c>
      <c r="Q57" s="26">
        <f t="shared" si="7"/>
        <v>55.9</v>
      </c>
      <c r="R57" s="26">
        <f t="shared" si="7"/>
        <v>56</v>
      </c>
      <c r="S57" s="26">
        <f t="shared" si="7"/>
        <v>56</v>
      </c>
      <c r="T57" s="76">
        <f t="shared" si="2"/>
        <v>139.69999999999973</v>
      </c>
    </row>
    <row r="58" spans="1:20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L58" s="75">
        <f t="shared" si="3"/>
        <v>139.79999999999973</v>
      </c>
      <c r="M58" s="26">
        <f t="shared" si="7"/>
        <v>55.5</v>
      </c>
      <c r="N58" s="26">
        <f t="shared" si="7"/>
        <v>55.6</v>
      </c>
      <c r="O58" s="26">
        <f t="shared" si="7"/>
        <v>55.7</v>
      </c>
      <c r="P58" s="26">
        <f t="shared" si="7"/>
        <v>55.8</v>
      </c>
      <c r="Q58" s="26">
        <f t="shared" si="7"/>
        <v>55.9</v>
      </c>
      <c r="R58" s="26">
        <f t="shared" si="7"/>
        <v>55.9</v>
      </c>
      <c r="S58" s="26">
        <f t="shared" si="7"/>
        <v>56</v>
      </c>
      <c r="T58" s="76">
        <f t="shared" si="2"/>
        <v>139.79999999999973</v>
      </c>
    </row>
    <row r="59" spans="1:20" ht="15.75" thickBot="1" x14ac:dyDescent="0.3">
      <c r="A59" s="14"/>
      <c r="B59" s="14"/>
      <c r="C59" s="14"/>
      <c r="D59" s="14"/>
      <c r="E59" s="14"/>
      <c r="F59" s="14"/>
      <c r="G59" s="14"/>
      <c r="H59" s="14"/>
      <c r="I59" s="14"/>
      <c r="J59" s="14"/>
      <c r="L59" s="77">
        <f t="shared" si="3"/>
        <v>139.89999999999972</v>
      </c>
      <c r="M59" s="81">
        <f t="shared" si="7"/>
        <v>55.5</v>
      </c>
      <c r="N59" s="81">
        <f t="shared" si="7"/>
        <v>55.6</v>
      </c>
      <c r="O59" s="81">
        <f t="shared" si="7"/>
        <v>55.7</v>
      </c>
      <c r="P59" s="81">
        <f t="shared" si="7"/>
        <v>55.8</v>
      </c>
      <c r="Q59" s="81">
        <f t="shared" si="7"/>
        <v>55.9</v>
      </c>
      <c r="R59" s="81">
        <f t="shared" si="7"/>
        <v>55.9</v>
      </c>
      <c r="S59" s="81">
        <f t="shared" si="7"/>
        <v>56</v>
      </c>
      <c r="T59" s="78">
        <f t="shared" si="2"/>
        <v>139.89999999999972</v>
      </c>
    </row>
    <row r="60" spans="1:20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L60" s="67"/>
      <c r="M60" s="26"/>
      <c r="N60" s="26"/>
      <c r="O60" s="26"/>
      <c r="P60" s="26"/>
      <c r="Q60" s="26"/>
      <c r="R60" s="26"/>
      <c r="S60" s="26"/>
      <c r="T60" s="67"/>
    </row>
  </sheetData>
  <sheetProtection algorithmName="SHA-512" hashValue="Ic+QKjGkbed2GX1nJX3c5OdeRqSu/0ujAno1SiIII/XKYUuTFQBHsh9tK+Xrq5UcJMYCC0vjswpWqcTtjERWPg==" saltValue="8hS5n5gGv2OrNTdypZUJKQ==" spinCount="100000" sheet="1" objects="1" scenarios="1"/>
  <dataConsolidate/>
  <mergeCells count="27">
    <mergeCell ref="A6:I6"/>
    <mergeCell ref="B36:J36"/>
    <mergeCell ref="B37:J37"/>
    <mergeCell ref="B30:J30"/>
    <mergeCell ref="B31:J31"/>
    <mergeCell ref="B32:J32"/>
    <mergeCell ref="B33:J33"/>
    <mergeCell ref="B34:J34"/>
    <mergeCell ref="B35:J35"/>
    <mergeCell ref="B29:J29"/>
    <mergeCell ref="B18:J18"/>
    <mergeCell ref="B19:J19"/>
    <mergeCell ref="B20:J20"/>
    <mergeCell ref="B21:J21"/>
    <mergeCell ref="B22:J22"/>
    <mergeCell ref="B23:J23"/>
    <mergeCell ref="B24:J24"/>
    <mergeCell ref="B25:J25"/>
    <mergeCell ref="B26:J26"/>
    <mergeCell ref="B27:J27"/>
    <mergeCell ref="B28:J28"/>
    <mergeCell ref="B17:J17"/>
    <mergeCell ref="B12:J12"/>
    <mergeCell ref="B13:J13"/>
    <mergeCell ref="B14:J14"/>
    <mergeCell ref="B15:J15"/>
    <mergeCell ref="B16:J16"/>
  </mergeCells>
  <dataValidations count="2">
    <dataValidation allowBlank="1" showInputMessage="1" showErrorMessage="1" prompt="Adjust Parameters as necessary" sqref="C8:D9" xr:uid="{00000000-0002-0000-0100-000000000000}"/>
    <dataValidation type="list" allowBlank="1" showInputMessage="1" showErrorMessage="1" prompt="Select Table Here" sqref="A6" xr:uid="{00000000-0002-0000-0100-000001000000}">
      <formula1>Tables</formula1>
    </dataValidation>
  </dataValidations>
  <pageMargins left="0.70866141732283472" right="0.70866141732283472" top="0.74803149606299213" bottom="0.74803149606299213" header="0.31496062992125984" footer="0.31496062992125984"/>
  <pageSetup paperSize="9" scale="85" orientation="portrait" r:id="rId1"/>
  <colBreaks count="1" manualBreakCount="1">
    <brk id="10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6767D5817D3A4F9BBEC2249100E1A5" ma:contentTypeVersion="10" ma:contentTypeDescription="Create a new document." ma:contentTypeScope="" ma:versionID="64525097d653915a4917d2ffbedf9dd8">
  <xsd:schema xmlns:xsd="http://www.w3.org/2001/XMLSchema" xmlns:xs="http://www.w3.org/2001/XMLSchema" xmlns:p="http://schemas.microsoft.com/office/2006/metadata/properties" xmlns:ns3="4054a566-182a-48a0-ac77-279ef98b6d88" targetNamespace="http://schemas.microsoft.com/office/2006/metadata/properties" ma:root="true" ma:fieldsID="9acfd357639ed7f489e4ea021ad28f65" ns3:_="">
    <xsd:import namespace="4054a566-182a-48a0-ac77-279ef98b6d8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54a566-182a-48a0-ac77-279ef98b6d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BDEB3E4-1302-49C9-A9D2-AA8E31C8B77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94EA18B-7885-4492-BA17-0FCCDEE3B3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054a566-182a-48a0-ac77-279ef98b6d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1A776A-9E98-4034-8F40-969F6688D737}">
  <ds:schemaRefs>
    <ds:schemaRef ds:uri="http://schemas.microsoft.com/office/2006/metadata/properties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4054a566-182a-48a0-ac77-279ef98b6d88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Meas Tables 2004</vt:lpstr>
      <vt:lpstr>Meas Tables 1980</vt:lpstr>
      <vt:lpstr>'Meas Tables 1980'!Tables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Milenko_Manojlovic</dc:creator>
  <cp:lastModifiedBy>Milenko Manojlovic</cp:lastModifiedBy>
  <cp:lastPrinted>2016-06-09T14:45:37Z</cp:lastPrinted>
  <dcterms:created xsi:type="dcterms:W3CDTF">2016-06-09T10:02:12Z</dcterms:created>
  <dcterms:modified xsi:type="dcterms:W3CDTF">2020-10-15T18:30:47Z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0x010100266767D5817D3A4F9BBEC2249100E1A5</vt:lpwstr>
  </property>
</Properties>
</file>